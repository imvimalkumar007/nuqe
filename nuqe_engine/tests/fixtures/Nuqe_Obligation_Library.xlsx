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ligation_library" sheetId="1" state="visible" r:id="rId3"/>
    <sheet name="run_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<sst xmlns="http://schemas.openxmlformats.org/spreadsheetml/2006/main" count="3121" uniqueCount="1202">
  <si>
    <t xml:space="preserve">obligation_id</t>
  </si>
  <si>
    <t xml:space="preserve">obligation_name</t>
  </si>
  <si>
    <t xml:space="preserve">jurisdiction</t>
  </si>
  <si>
    <t xml:space="preserve">regulator</t>
  </si>
  <si>
    <t xml:space="preserve">framework</t>
  </si>
  <si>
    <t xml:space="preserve">source_document</t>
  </si>
  <si>
    <t xml:space="preserve">source_url</t>
  </si>
  <si>
    <t xml:space="preserve">source_provision_type</t>
  </si>
  <si>
    <t xml:space="preserve">product_types</t>
  </si>
  <si>
    <t xml:space="preserve">customer_segments</t>
  </si>
  <si>
    <t xml:space="preserve">trigger_condition</t>
  </si>
  <si>
    <t xml:space="preserve">requirement</t>
  </si>
  <si>
    <t xml:space="preserve">deadline_value</t>
  </si>
  <si>
    <t xml:space="preserve">deadline_unit</t>
  </si>
  <si>
    <t xml:space="preserve">deadline_anchor</t>
  </si>
  <si>
    <t xml:space="preserve">evidence_required</t>
  </si>
  <si>
    <t xml:space="preserve">breach_consequence</t>
  </si>
  <si>
    <t xml:space="preserve">exceptions</t>
  </si>
  <si>
    <t xml:space="preserve">overlay_of</t>
  </si>
  <si>
    <t xml:space="preserve">supersedes</t>
  </si>
  <si>
    <t xml:space="preserve">effective_from</t>
  </si>
  <si>
    <t xml:space="preserve">effective_to</t>
  </si>
  <si>
    <t xml:space="preserve">version</t>
  </si>
  <si>
    <t xml:space="preserve">review_status</t>
  </si>
  <si>
    <t xml:space="preserve">UK-DISP-001</t>
  </si>
  <si>
    <t xml:space="preserve">Investigate complaint competently, diligently and impartially</t>
  </si>
  <si>
    <t xml:space="preserve">UK</t>
  </si>
  <si>
    <t xml:space="preserve">FCA</t>
  </si>
  <si>
    <t xml:space="preserve">DISP</t>
  </si>
  <si>
    <t xml:space="preserve">FCA Handbook DISP 1.4.1R</t>
  </si>
  <si>
    <t xml:space="preserve">https://www.handbook.fca.org.uk/handbook/DISP/1/4.html</t>
  </si>
  <si>
    <t xml:space="preserve">rule</t>
  </si>
  <si>
    <t xml:space="preserve">['loan','card','bnpl','current_account']</t>
  </si>
  <si>
    <t xml:space="preserve">['retail','vulnerable']</t>
  </si>
  <si>
    <t xml:space="preserve">{ event: 'complaint_received', conditions: 'jurisdiction==UK', exclusions: 'null' }</t>
  </si>
  <si>
    <t xml:space="preserve">{ action: 'perform_check', action_parameters: { check_type: 'complaint_investigation', covers: ['investigation','assessment','redress_decision','explanation','compliance_with_offer'] }, assertion: 'case.investigation_recorded == true AND case.assessment_recorded == true AND case.outcome_explained_to_complainant == true' }</t>
  </si>
  <si>
    <t xml:space="preserve">none</t>
  </si>
  <si>
    <t xml:space="preserve">complaint_received</t>
  </si>
  <si>
    <t xml:space="preserve">[{ type: 'case_note', location: 'case_notes_table', selector: 'type==investigation_record', retention_years: 6 }, { type: 'communication', location: 'communications_table', selector: 'type==assessment_explanation', retention_years: 6 }]</t>
  </si>
  <si>
    <t xml:space="preserve">regulatory_referral</t>
  </si>
  <si>
    <t xml:space="preserve">[]</t>
  </si>
  <si>
    <t xml:space="preserve">2011-09-01</t>
  </si>
  <si>
    <t xml:space="preserve">1.0.0</t>
  </si>
  <si>
    <t xml:space="preserve">approved</t>
  </si>
  <si>
    <t xml:space="preserve">UK-DISP-002</t>
  </si>
  <si>
    <t xml:space="preserve">Offer redress or remedial action when appropriate</t>
  </si>
  <si>
    <t xml:space="preserve">FCA Handbook DISP 1.4.1R(3)</t>
  </si>
  <si>
    <t xml:space="preserve">{ event: 'complaint_classified', conditions: 'complaint.upheld==true OR complaint.partial_upheld==true', exclusions: 'null' }</t>
  </si>
  <si>
    <t xml:space="preserve">{ action: 'refund', action_parameters: { redress_type: ['financial','remedial','both'] }, assertion: 'case.redress_offered == true' }</t>
  </si>
  <si>
    <t xml:space="preserve">[{ type: 'case_note', location: 'case_notes_table', selector: 'type==redress_decision', retention_years: 6 }]</t>
  </si>
  <si>
    <t xml:space="preserve">customer_remedy</t>
  </si>
  <si>
    <t xml:space="preserve">UK-DISP-003</t>
  </si>
  <si>
    <t xml:space="preserve">Comply promptly with accepted redress or remedial action</t>
  </si>
  <si>
    <t xml:space="preserve">FCA Handbook DISP 1.4.1R(5)</t>
  </si>
  <si>
    <t xml:space="preserve">{ event: 'status_changed', conditions: 'complaint.redress_accepted_by_complainant==true', exclusions: 'null' }</t>
  </si>
  <si>
    <t xml:space="preserve">{ action: 'refund', action_parameters: { redress_type: 'as_accepted' }, assertion: 'case.redress_paid_at != null' }</t>
  </si>
  <si>
    <t xml:space="preserve">status_changed</t>
  </si>
  <si>
    <t xml:space="preserve">[{ type: 'payment_record', location: 'external_system', selector: 'redress_payment for case_id', retention_years: 6 }]</t>
  </si>
  <si>
    <t xml:space="preserve">UK-DISP-004</t>
  </si>
  <si>
    <t xml:space="preserve">Cooperate with the Financial Ombudsman Service</t>
  </si>
  <si>
    <t xml:space="preserve">FCA Handbook DISP 1.4.4R</t>
  </si>
  <si>
    <t xml:space="preserve">{ event: 'status_changed', conditions: 'case.fos_referred==true', exclusions: 'null' }</t>
  </si>
  <si>
    <t xml:space="preserve">{ action: 'perform_check', action_parameters: { check_type: 'fos_cooperation' }, assertion: 'case.fos_responses_complete == true AND case.fos_awards_complied == true' }</t>
  </si>
  <si>
    <t xml:space="preserve">[{ type: 'communication', location: 'communications_table', selector: 'recipient==fos', retention_years: 6 }]</t>
  </si>
  <si>
    <t xml:space="preserve">UK-DISP-005</t>
  </si>
  <si>
    <t xml:space="preserve">Send summary resolution communication for complaints resolved within 3 business days</t>
  </si>
  <si>
    <t xml:space="preserve">FCA Handbook DISP 1.5.4R</t>
  </si>
  <si>
    <t xml:space="preserve">https://www.handbook.fca.org.uk/handbook/DISP/1/5.html</t>
  </si>
  <si>
    <t xml:space="preserve">{ event: 'status_changed', conditions: 'case.resolved_by_close_of_third_business_day==true', exclusions: 'null' }</t>
  </si>
  <si>
    <t xml:space="preserve">{ action: 'send_communication', action_parameters: { channel: 'written', content_type: 'summary_resolution_communication', must_include: ['complaint_resolved_statement','fos_referral_right','fos_website','time_limit_waiver_wording_per_annex_3'] }, assertion: 'communication.type==summary_resolution AND communication.sent_at != null' }</t>
  </si>
  <si>
    <t xml:space="preserve">3</t>
  </si>
  <si>
    <t xml:space="preserve">business_days</t>
  </si>
  <si>
    <t xml:space="preserve">[{ type: 'communication', location: 'communications_table', selector: 'type==summary_resolution_communication AND case_id==case.id', retention_years: 3 }]</t>
  </si>
  <si>
    <t xml:space="preserve">[{ condition: 'complaint not resolved within 3 business days', effect: 'requirement does not apply; UK-DISP-007 (8-week final response) applies instead' }]</t>
  </si>
  <si>
    <t xml:space="preserve">2016-06-30</t>
  </si>
  <si>
    <t xml:space="preserve">UK-DISP-006</t>
  </si>
  <si>
    <t xml:space="preserve">Complaints resolved within 3 business days remain subject to complaints resolution rules</t>
  </si>
  <si>
    <t xml:space="preserve">FCA Handbook DISP 1.5.2R</t>
  </si>
  <si>
    <t xml:space="preserve">{ action: 'perform_check', action_parameters: { check_type: 'apply_disp_1_4_to_summary_resolved_cases' }, assertion: 'UK-DISP-001 AND UK-DISP-002 AND UK-DISP-003 still applied to case' }</t>
  </si>
  <si>
    <t xml:space="preserve">[{ type: 'case_note', location: 'case_notes_table', selector: 'covers DISP 1.4.1R assessment', retention_years: 3 }]</t>
  </si>
  <si>
    <t xml:space="preserve">audit_finding</t>
  </si>
  <si>
    <t xml:space="preserve">UK-DISP-007</t>
  </si>
  <si>
    <t xml:space="preserve">Send prompt written acknowledgement of complaint</t>
  </si>
  <si>
    <t xml:space="preserve">FCA Handbook DISP 1.6.1R(1)</t>
  </si>
  <si>
    <t xml:space="preserve">https://www.handbook.fca.org.uk/handbook/DISP/1/6.html</t>
  </si>
  <si>
    <t xml:space="preserve">{ event: 'complaint_received', conditions: 'jurisdiction==UK', exclusions: 'case.resolved_by_close_of_third_business_day==true' }</t>
  </si>
  <si>
    <t xml:space="preserve">{ action: 'send_communication', action_parameters: { channel: 'written', content_type: 'acknowledgement', must_include: ['receipt_confirmation','reassurance_complaint_is_being_handled'] }, assertion: 'communication.type==acknowledgement AND communication.sent_at &lt;= deadline' }</t>
  </si>
  <si>
    <t xml:space="preserve">[{ type: 'communication', location: 'communications_table', selector: 'type==acknowledgement AND case_id==case.id', retention_years: 6 }]</t>
  </si>
  <si>
    <t xml:space="preserve">[{ condition: 'complaint resolved within 3 business days under DISP 1.5', effect: 'summary resolution communication satisfies this rule' }]</t>
  </si>
  <si>
    <t xml:space="preserve">UK-DISP-008</t>
  </si>
  <si>
    <t xml:space="preserve">Keep complainant informed of progress</t>
  </si>
  <si>
    <t xml:space="preserve">FCA Handbook DISP 1.6.1R(2)</t>
  </si>
  <si>
    <t xml:space="preserve">{ event: 'scheduled_check', conditions: 'case.status==open AND case.last_complainant_update_age_days &gt; 14', exclusions: 'case.resolved_by_close_of_third_business_day==true' }</t>
  </si>
  <si>
    <t xml:space="preserve">{ action: 'send_communication', action_parameters: { channel: 'any', content_type: 'progress_update' }, assertion: 'communication.type==progress_update AND communication.sent_at != null' }</t>
  </si>
  <si>
    <t xml:space="preserve">scheduled_check</t>
  </si>
  <si>
    <t xml:space="preserve">[{ type: 'communication', location: 'communications_table', selector: 'type==progress_update AND case_id==case.id', retention_years: 6 }]</t>
  </si>
  <si>
    <t xml:space="preserve">[{ condition: 'DISP 1.6.1R(2) sets no fixed periodicity; the 14-day scheduled_check is a Nuqe operational interpretation, not a regulatory deadline', effect: 'engine should apply 14-day check as an internal control only; breach does not equate to a regulatory breach' }]</t>
  </si>
  <si>
    <t xml:space="preserve">peer_review</t>
  </si>
  <si>
    <t xml:space="preserve">UK-DISP-009</t>
  </si>
  <si>
    <t xml:space="preserve">Send final response within eight weeks of complaint receipt</t>
  </si>
  <si>
    <t xml:space="preserve">FCA Handbook DISP 1.6.2R</t>
  </si>
  <si>
    <t xml:space="preserve">{ event: 'complaint_received', conditions: 'jurisdiction==UK', exclusions: 'case.resolved_by_close_of_third_business_day==true OR complainant.written_acceptance_recorded==true' }</t>
  </si>
  <si>
    <t xml:space="preserve">{ action: 'send_communication', action_parameters: { channel: 'written', content_type: 'final_response', must_include: ['decision','fos_explanatory_leaflet_or_website','fos_referral_right','six_month_time_limit','time_limit_waiver_wording_per_annex_3'] }, assertion: 'communication.type==final_response AND communication.sent_at &lt;= deadline' }</t>
  </si>
  <si>
    <t xml:space="preserve">calendar_days</t>
  </si>
  <si>
    <t xml:space="preserve">[{ type: 'communication', location: 'communications_table', selector: 'type==final_response AND case_id==case.id', retention_years: 6 }]</t>
  </si>
  <si>
    <t xml:space="preserve">[{ condition: 'complainant has indicated written acceptance of an earlier response that referenced FOS availability', effect: 'requirement does not apply' }]</t>
  </si>
  <si>
    <t xml:space="preserve">1.0.1</t>
  </si>
  <si>
    <t xml:space="preserve">UK-DISP-010</t>
  </si>
  <si>
    <t xml:space="preserve">Send 8-week holding response if final response not ready</t>
  </si>
  <si>
    <t xml:space="preserve">FCA Handbook DISP 1.6.2R(2)</t>
  </si>
  <si>
    <t xml:space="preserve">{ event: 'deadline_approaching', conditions: 'case.age_days &gt;= 53 AND case.final_response_sent==false', exclusions: 'case.resolved_by_close_of_third_business_day==true' }</t>
  </si>
  <si>
    <t xml:space="preserve">{ action: 'send_communication', action_parameters: { channel: 'written', content_type: 'holding_response', must_include: ['reason_for_delay','expected_final_response_date','fos_referral_right','fos_explanatory_leaflet_or_website'] }, assertion: 'communication.type==holding_response AND communication.sent_at &lt;= deadline' }</t>
  </si>
  <si>
    <t xml:space="preserve">[{ type: 'communication', location: 'communications_table', selector: 'type==holding_response AND case_id==case.id', retention_years: 6 }]</t>
  </si>
  <si>
    <t xml:space="preserve">[{ condition: 'final response already sent', effect: 'requirement does not apply' }]</t>
  </si>
  <si>
    <t xml:space="preserve">UK-DISP-011</t>
  </si>
  <si>
    <t xml:space="preserve">Present FOS information clearly, comprehensibly and prominently in responses</t>
  </si>
  <si>
    <t xml:space="preserve">FCA Handbook DISP 1.6.5G</t>
  </si>
  <si>
    <t xml:space="preserve">guidance</t>
  </si>
  <si>
    <t xml:space="preserve">{ event: 'communication_sent', conditions: "communication.type IN ('final_response','holding_response','summary_resolution_communication')", exclusions: 'null' }</t>
  </si>
  <si>
    <t xml:space="preserve">{ action: 'perform_check', action_parameters: { check_type: 'fos_disclosure_format' }, assertion: 'communication.fos_information_clearly_displayed == true' }</t>
  </si>
  <si>
    <t xml:space="preserve">communication_sent</t>
  </si>
  <si>
    <t xml:space="preserve">[{ type: 'communication', location: 'communications_table', selector: 'fos_information_clearly_displayed_flag', retention_years: 6 }]</t>
  </si>
  <si>
    <t xml:space="preserve">UK-CONC-001</t>
  </si>
  <si>
    <t xml:space="preserve">Undertake creditworthiness assessment before entering credit agreement</t>
  </si>
  <si>
    <t xml:space="preserve">CONC</t>
  </si>
  <si>
    <t xml:space="preserve">FCA Handbook CONC 5.2A.4R</t>
  </si>
  <si>
    <t xml:space="preserve">https://www.handbook.fca.org.uk/handbook/CONC/5/2A.html</t>
  </si>
  <si>
    <t xml:space="preserve">['loan','card','bnpl']</t>
  </si>
  <si>
    <t xml:space="preserve">['all']</t>
  </si>
  <si>
    <t xml:space="preserve">{ event: 'status_changed', conditions: "case.type=='credit_application' AND case.status=='pre_contract'", exclusions: 'null' }</t>
  </si>
  <si>
    <t xml:space="preserve">{ action: 'perform_check', action_parameters: { check_type: 'creditworthiness_assessment', must_consider: ['credit_risk','affordability_risk','sustainability_of_repayments'] }, assertion: 'case.creditworthiness_assessment_completed_at != null AND case.creditworthiness_outcome != null' }</t>
  </si>
  <si>
    <t xml:space="preserve">[{ type: 'case_note', location: 'case_notes_table', selector: 'type==creditworthiness_assessment', retention_years: 6 }, { type: 'document_upload', location: 'document_store', selector: 'category==creditworthiness_evidence', retention_years: 6 }]</t>
  </si>
  <si>
    <t xml:space="preserve">[{ condition: 'authorised business overdraft agreement', effect: 'modified application; see CONC 5.2A.3R' }, { condition: 'pawn agreement where liability cannot exceed pawned article value', effect: 'modified application' }]</t>
  </si>
  <si>
    <t xml:space="preserve">2018-11-01</t>
  </si>
  <si>
    <t xml:space="preserve">UK-CONC-002</t>
  </si>
  <si>
    <t xml:space="preserve">Assess affordability risk to the customer over the life of the agreement</t>
  </si>
  <si>
    <t xml:space="preserve">FCA Handbook CONC 5.2A.12R</t>
  </si>
  <si>
    <t xml:space="preserve">{ event: 'status_changed', conditions: "case.creditworthiness_assessment_in_progress==true", exclusions: 'null' }</t>
  </si>
  <si>
    <t xml:space="preserve">{ action: 'perform_check', action_parameters: { check_type: 'affordability_assessment', must_consider: ['repayment_capacity','income','non_discretionary_expenditure','foreseeable_changes'] }, assertion: 'case.affordability_outcome != null AND case.affordability_outcome IN [sustainable, not_sustainable, marginal]' }</t>
  </si>
  <si>
    <t xml:space="preserve">[{ type: 'case_note', location: 'case_notes_table', selector: 'type==affordability_assessment', retention_years: 6 }]</t>
  </si>
  <si>
    <t xml:space="preserve">UK-CONC-003</t>
  </si>
  <si>
    <t xml:space="preserve">Assess creditworthiness before significant increase in credit limit or amount of credit</t>
  </si>
  <si>
    <t xml:space="preserve">FCA Handbook CONC 5.2A.4R(2)</t>
  </si>
  <si>
    <t xml:space="preserve">['loan','card']</t>
  </si>
  <si>
    <t xml:space="preserve">{ event: 'status_changed', conditions: "case.type=='credit_limit_increase' OR case.type=='credit_amount_increase'", exclusions: 'null' }</t>
  </si>
  <si>
    <t xml:space="preserve">{ action: 'perform_check', action_parameters: { check_type: 'creditworthiness_reassessment' }, assertion: 'case.creditworthiness_assessment_completed_at != null' }</t>
  </si>
  <si>
    <t xml:space="preserve">[{ type: 'case_note', location: 'case_notes_table', selector: 'type==creditworthiness_reassessment', retention_years: 6 }]</t>
  </si>
  <si>
    <t xml:space="preserve">UK-CONC-004</t>
  </si>
  <si>
    <t xml:space="preserve">Assess guarantor commitments for adverse financial impact</t>
  </si>
  <si>
    <t xml:space="preserve">FCA Handbook CONC 5.2A.31R</t>
  </si>
  <si>
    <t xml:space="preserve">{ event: 'status_changed', conditions: 'case.guarantor_proposed==true', exclusions: 'null' }</t>
  </si>
  <si>
    <t xml:space="preserve">{ action: 'perform_check', action_parameters: { check_type: 'guarantor_assessment' }, assertion: 'case.guarantor_assessment_completed_at != null' }</t>
  </si>
  <si>
    <t xml:space="preserve">[{ type: 'case_note', location: 'case_notes_table', selector: 'type==guarantor_assessment', retention_years: 6 }]</t>
  </si>
  <si>
    <t xml:space="preserve">UK-CONC-005</t>
  </si>
  <si>
    <t xml:space="preserve">Establish and implement clear policies for creditworthiness assessment</t>
  </si>
  <si>
    <t xml:space="preserve">FCA Handbook CONC 5.2A.34R</t>
  </si>
  <si>
    <t xml:space="preserve">{ event: 'scheduled_check', conditions: 'firm.creditworthiness_policy_last_reviewed_age_months &gt; 12', exclusions: 'null' }</t>
  </si>
  <si>
    <t xml:space="preserve">{ action: 'document_assessment', action_parameters: { document_type: 'creditworthiness_policy' }, assertion: 'firm.creditworthiness_policy_approved == true' }</t>
  </si>
  <si>
    <t xml:space="preserve">[{ type: 'document_upload', location: 'document_store', selector: 'category==creditworthiness_policy', retention_years: 6 }]</t>
  </si>
  <si>
    <t xml:space="preserve">UK-CONC-006</t>
  </si>
  <si>
    <t xml:space="preserve">Notify customer at least 30 days before credit limit increase on card</t>
  </si>
  <si>
    <t xml:space="preserve">FCA Handbook CONC 6.7.7R</t>
  </si>
  <si>
    <t xml:space="preserve">https://www.handbook.fca.org.uk/handbook/CONC/6/7.html</t>
  </si>
  <si>
    <t xml:space="preserve">['card']</t>
  </si>
  <si>
    <t xml:space="preserve">{ event: 'status_changed', conditions: "case.type=='card_credit_limit_increase'", exclusions: 'customer.agreed_to_immediate_increase==true' }</t>
  </si>
  <si>
    <t xml:space="preserve">{ action: 'send_communication', action_parameters: { channel: 'written', content_type: 'credit_limit_increase_notice' }, assertion: 'communication.sent_at &lt;= (proposed_increase_effective_date - 30 calendar days)' }</t>
  </si>
  <si>
    <t xml:space="preserve">30</t>
  </si>
  <si>
    <t xml:space="preserve">[{ type: 'communication', location: 'communications_table', selector: 'type==credit_limit_increase_notice', retention_years: 6 }]</t>
  </si>
  <si>
    <t xml:space="preserve">[{ condition: 'customer requested or agreed to the increase to take effect in under 30 days', effect: 'requirement waived' }]</t>
  </si>
  <si>
    <t xml:space="preserve">2014-04-01</t>
  </si>
  <si>
    <t xml:space="preserve">UK-CONC-007</t>
  </si>
  <si>
    <t xml:space="preserve">Notify customer at least 30 days before interest rate increase on card</t>
  </si>
  <si>
    <t xml:space="preserve">FCA Handbook CONC 6.7.13R</t>
  </si>
  <si>
    <t xml:space="preserve">{ event: 'status_changed', conditions: "case.type=='card_interest_rate_increase'", exclusions: 'rate_change.tracks_external_index==true AND rate_change.tracker_adequately_disclosed_under_CONC_4_2_15==true' }</t>
  </si>
  <si>
    <t xml:space="preserve">{ action: 'send_communication', action_parameters: { channel: 'written', content_type: 'rate_increase_notice' }, assertion: 'communication.sent_at &lt;= (proposed_rate_effective_date - 30 calendar days)' }</t>
  </si>
  <si>
    <t xml:space="preserve">[{ type: 'communication', location: 'communications_table', selector: 'type==rate_increase_notice', retention_years: 6 }]</t>
  </si>
  <si>
    <t xml:space="preserve">[{ condition: 'rate is set to track an external index and was adequately disclosed at agreement', effect: 'requirement waived' }]</t>
  </si>
  <si>
    <t xml:space="preserve">UK-CONC-008</t>
  </si>
  <si>
    <t xml:space="preserve">Permit 60 days to close account and repay at pre-increase rate on card rate rise</t>
  </si>
  <si>
    <t xml:space="preserve">FCA Handbook CONC 6.7.14R</t>
  </si>
  <si>
    <t xml:space="preserve">{ event: 'communication_sent', conditions: "communication.type=='rate_increase_notice'", exclusions: 'null' }</t>
  </si>
  <si>
    <t xml:space="preserve">{ action: 'perform_check', action_parameters: { check_type: 'opt_out_window', window_days: 60 }, assertion: 'firm.allows_account_closure_at_pre_increase_rate_for_60_days == true' }</t>
  </si>
  <si>
    <t xml:space="preserve">60</t>
  </si>
  <si>
    <t xml:space="preserve">[{ type: 'system_record', location: 'external_system', selector: 'rate_increase_optout_configuration for case_id', retention_years: 6 }]</t>
  </si>
  <si>
    <t xml:space="preserve">UK-CONC-009</t>
  </si>
  <si>
    <t xml:space="preserve">Do not increase interest rate where customer is at risk of financial difficulties</t>
  </si>
  <si>
    <t xml:space="preserve">FCA Handbook CONC 6.7.10R</t>
  </si>
  <si>
    <t xml:space="preserve">{ event: 'status_changed', conditions: "case.type=='card_interest_rate_increase' AND customer.at_risk_of_financial_difficulties==true", exclusions: 'rate_change.is_end_of_promotional_rate==true' }</t>
  </si>
  <si>
    <t xml:space="preserve">{ action: 'suspend_activity', action_parameters: { activity: 'interest_rate_increase' }, assertion: 'firm.rate_increase_blocked_for_at_risk_customer == true' }</t>
  </si>
  <si>
    <t xml:space="preserve">[{ type: 'system_record', location: 'external_system', selector: 'rate_increase_block for case_id', retention_years: 6 }]</t>
  </si>
  <si>
    <t xml:space="preserve">[{ condition: 'promotional rate ending', effect: 'requirement does not apply' }]</t>
  </si>
  <si>
    <t xml:space="preserve">UK-CONC-010</t>
  </si>
  <si>
    <t xml:space="preserve">Take reasonable steps to assist persistent debt card customers to repay more quickly</t>
  </si>
  <si>
    <t xml:space="preserve">FCA Handbook CONC 6.7.30R / CONC 6.7.37R</t>
  </si>
  <si>
    <t xml:space="preserve">{ event: 'scheduled_check', conditions: "customer.persistent_debt_status==true AND customer.last_18_months_interest_fees_charges &gt; customer.last_18_months_principal_repaid", exclusions: 'firm.already_taking_equivalent_or_more_favourable_steps==true' }</t>
  </si>
  <si>
    <t xml:space="preserve">{ action: 'send_communication', action_parameters: { channel: 'customer_preferred', content_type: 'persistent_debt_notification', must_include: ['interest_vs_principal_explanation','encourage_higher_repayment','debt_advice_signposting','financial_circumstances_discussion_invitation'] }, assertion: 'communication.type==persistent_debt_notification AND communication.sent_at != null' }</t>
  </si>
  <si>
    <t xml:space="preserve">[{ type: 'communication', location: 'communications_table', selector: 'type==persistent_debt_notification', retention_years: 6 }]</t>
  </si>
  <si>
    <t xml:space="preserve">[{ condition: 'firm is already taking equivalent or more favourable forbearance steps under CONC 6.7.37R', effect: 'requirement waived while those steps continue' }]</t>
  </si>
  <si>
    <t xml:space="preserve">2018-03-01</t>
  </si>
  <si>
    <t xml:space="preserve">UK-CONC-011</t>
  </si>
  <si>
    <t xml:space="preserve">Treat customers in arrears or in default with forbearance and due consideration</t>
  </si>
  <si>
    <t xml:space="preserve">FCA Handbook CONC 7.3.4R</t>
  </si>
  <si>
    <t xml:space="preserve">https://www.handbook.fca.org.uk/handbook/CONC/7/3.html</t>
  </si>
  <si>
    <t xml:space="preserve">{ event: 'status_changed', conditions: "case.status IN ('arrears','default','approaching_arrears')", exclusions: 'null' }</t>
  </si>
  <si>
    <t xml:space="preserve">{ action: 'perform_check', action_parameters: { check_type: 'forbearance_assessment', considerations: ['suspend_interest','suspend_charges','accept_token_payments','extend_repayment_period'] }, assertion: 'case.forbearance_considered_at != null AND case.forbearance_decision_recorded == true' }</t>
  </si>
  <si>
    <t xml:space="preserve">[{ type: 'case_note', location: 'case_notes_table', selector: 'type==forbearance_assessment', retention_years: 6 }]</t>
  </si>
  <si>
    <t xml:space="preserve">UK-CONC-012</t>
  </si>
  <si>
    <t xml:space="preserve">Allow reasonable time and opportunity to repay where customer is in default or arrears</t>
  </si>
  <si>
    <t xml:space="preserve">FCA Handbook CONC 7.3.11R</t>
  </si>
  <si>
    <t xml:space="preserve">{ event: 'status_changed', conditions: "case.status IN ('arrears','default') AND customer.has_made_reasonable_proposal==true", exclusions: 'null' }</t>
  </si>
  <si>
    <t xml:space="preserve">{ action: 'suspend_activity', action_parameters: { activity: 'enforcement', for_period_days: 30, extendable_by_days: 30 }, assertion: 'firm.enforcement_paused_at != null AND firm.repayment_proposal_under_consideration == true' }</t>
  </si>
  <si>
    <t xml:space="preserve">[{ type: 'case_note', location: 'case_notes_table', selector: 'type==repayment_proposal_review', retention_years: 6 }]</t>
  </si>
  <si>
    <t xml:space="preserve">UK-CONC-013</t>
  </si>
  <si>
    <t xml:space="preserve">Signpost free and impartial debt advice to customers in arrears or default</t>
  </si>
  <si>
    <t xml:space="preserve">FCA Handbook CONC 7.3.7AR / 7.3.7BR (inserted by FCA 2024/7 instrument, PS24/2)</t>
  </si>
  <si>
    <t xml:space="preserve">{ action: 'send_communication', action_parameters: { channel: 'any', content_type: 'debt_advice_signposting', must_include: ['not_for_profit_debt_advice_bodies','benefits_of_money_guidance_and_debt_advice'] }, assertion: 'communication.type==debt_advice_signposting AND communication.sent_at != null' }</t>
  </si>
  <si>
    <t xml:space="preserve">[{ type: 'communication', location: 'communications_table', selector: 'type==debt_advice_signposting', retention_years: 6 }]</t>
  </si>
  <si>
    <t xml:space="preserve">UK-CONC-014</t>
  </si>
  <si>
    <t xml:space="preserve">Do not take disproportionate action against customer in arrears or default</t>
  </si>
  <si>
    <t xml:space="preserve">FCA Handbook CONC 7.3.14R</t>
  </si>
  <si>
    <t xml:space="preserve">{ event: 'status_changed', conditions: "case.proposed_enforcement_action IN ('order_for_sale','bankruptcy_petition','charging_order')", exclusions: 'null' }</t>
  </si>
  <si>
    <t xml:space="preserve">{ action: 'perform_check', action_parameters: { check_type: 'proportionality_assessment', must_explore: 'all_more_proportionate_options_first' }, assertion: 'case.proportionality_review_recorded == true AND case.alternative_options_explored_recorded == true' }</t>
  </si>
  <si>
    <t xml:space="preserve">[{ type: 'case_note', location: 'case_notes_table', selector: 'type==proportionality_review', retention_years: 6 }]</t>
  </si>
  <si>
    <t xml:space="preserve">UK-CONC-015</t>
  </si>
  <si>
    <t xml:space="preserve">Do not threaten court action to pressure customer to pay more than they can afford</t>
  </si>
  <si>
    <t xml:space="preserve">FCA Handbook CONC 7.3.15R</t>
  </si>
  <si>
    <t xml:space="preserve">{ event: 'communication_sent', conditions: "communication.references_legal_action==true", exclusions: 'communication.references_legal_action_within_proportionate_warning==true' }</t>
  </si>
  <si>
    <t xml:space="preserve">{ action: 'perform_check', action_parameters: { check_type: 'no_undue_pressure' }, assertion: 'communication.references_legal_action AND NOT used_to_pressure_unaffordable_payment' }</t>
  </si>
  <si>
    <t xml:space="preserve">[{ type: 'communication', location: 'communications_table', selector: 'communication.id', retention_years: 6 }]</t>
  </si>
  <si>
    <t xml:space="preserve">UK-CONC-016</t>
  </si>
  <si>
    <t xml:space="preserve">Do not commence or continue repossession while forbearance arrangement is in place</t>
  </si>
  <si>
    <t xml:space="preserve">FCA Handbook CONC 7.3.17R</t>
  </si>
  <si>
    <t xml:space="preserve">{ event: 'status_changed', conditions: "case.repossession_action_proposed==true AND case.forbearance_arrangement_in_place==true AND customer.meeting_forbearance_terms==true", exclusions: 'null' }</t>
  </si>
  <si>
    <t xml:space="preserve">{ action: 'suspend_activity', action_parameters: { activity: 'repossession' }, assertion: 'firm.repossession_action_suspended == true' }</t>
  </si>
  <si>
    <t xml:space="preserve">[{ type: 'case_note', location: 'case_notes_table', selector: 'type==repossession_suspension', retention_years: 6 }]</t>
  </si>
  <si>
    <t xml:space="preserve">2024-11-15</t>
  </si>
  <si>
    <t xml:space="preserve">UK-CONC-017</t>
  </si>
  <si>
    <t xml:space="preserve">Do not claim recovery costs without contractual right</t>
  </si>
  <si>
    <t xml:space="preserve">FCA Handbook CONC 7.7.2R</t>
  </si>
  <si>
    <t xml:space="preserve">https://www.handbook.fca.org.uk/handbook/CONC/7/7.html</t>
  </si>
  <si>
    <t xml:space="preserve">{ event: 'status_changed', conditions: "case.recovery_costs_charged==true", exclusions: 'null' }</t>
  </si>
  <si>
    <t xml:space="preserve">{ action: 'perform_check', action_parameters: { check_type: 'contractual_right_to_recovery_costs' }, assertion: 'agreement.permits_recovery_cost_claim == true' }</t>
  </si>
  <si>
    <t xml:space="preserve">[{ type: 'document_upload', location: 'document_store', selector: 'category==credit_agreement', retention_years: 6 }]</t>
  </si>
  <si>
    <t xml:space="preserve">UK-CONC-018</t>
  </si>
  <si>
    <t xml:space="preserve">Exercise continuous payment authority reasonably and with forbearance</t>
  </si>
  <si>
    <t xml:space="preserve">FCA Handbook CONC 7.6.3R</t>
  </si>
  <si>
    <t xml:space="preserve">https://www.handbook.fca.org.uk/handbook/CONC/7/6.html</t>
  </si>
  <si>
    <t xml:space="preserve">{ event: 'payment_due', conditions: 'agreement.has_continuous_payment_authority==true', exclusions: 'null' }</t>
  </si>
  <si>
    <t xml:space="preserve">{ action: 'perform_check', action_parameters: { check_type: 'cpa_proportionate_use', considerations: ['customer_financial_difficulties_signs'] }, assertion: 'firm.cpa_use_logged == true AND firm.forbearance_assessed_if_signs_of_difficulty == true' }</t>
  </si>
  <si>
    <t xml:space="preserve">payment_due</t>
  </si>
  <si>
    <t xml:space="preserve">[{ type: 'system_record', location: 'external_system', selector: 'cpa_attempt_log for case_id', retention_years: 6 }]</t>
  </si>
  <si>
    <t xml:space="preserve">UK-CCA-001</t>
  </si>
  <si>
    <t xml:space="preserve">Honour section 75 connected lender liability for credit card purchases</t>
  </si>
  <si>
    <t xml:space="preserve">CCA</t>
  </si>
  <si>
    <t xml:space="preserve">Consumer Credit Act 1974, section 75</t>
  </si>
  <si>
    <t xml:space="preserve">https://www.legislation.gov.uk/ukpga/1974/39/section/75</t>
  </si>
  <si>
    <t xml:space="preserve">{ event: 'complaint_received', conditions: "complaint.category=='section_75_claim' AND transaction.cash_price &gt;= 100 AND transaction.cash_price &lt;= 30000 AND transaction.payment_method=='credit_card'", exclusions: 'transaction.foreign_supplier_no_jurisdiction==true' }</t>
  </si>
  <si>
    <t xml:space="preserve">{ action: 'perform_check', action_parameters: { check_type: 'section_75_liability_assessment', covers: ['breach_of_contract','misrepresentation','joint_and_several_liability_with_supplier'] }, assertion: 'case.section_75_decision_recorded == true' }</t>
  </si>
  <si>
    <t xml:space="preserve">[{ type: 'case_note', location: 'case_notes_table', selector: 'type==section_75_assessment', retention_years: 6 }]</t>
  </si>
  <si>
    <t xml:space="preserve">[{ condition: 'transaction below £100 or above £30,000', effect: 'section 75 does not apply' }, { condition: 'foreign supplier with no UK jurisdiction', effect: 'liability fact-specific; assess via case law' }]</t>
  </si>
  <si>
    <t xml:space="preserve">1985-05-20</t>
  </si>
  <si>
    <t xml:space="preserve">UK-CCA-002</t>
  </si>
  <si>
    <t xml:space="preserve">Provide copy of fixed-sum credit agreement and statement on request (section 77)</t>
  </si>
  <si>
    <t xml:space="preserve">Consumer Credit Act 1974, section 77; Consumer Credit (Prescribed Periods for Giving Information) Regulations 1983, SI 1983/1569</t>
  </si>
  <si>
    <t xml:space="preserve">https://www.legislation.gov.uk/ukpga/1974/39/section/77</t>
  </si>
  <si>
    <t xml:space="preserve">['loan']</t>
  </si>
  <si>
    <t xml:space="preserve">{ event: 'communication_received', conditions: "communication.type=='section_77_request' AND agreement.type=='fixed_sum_credit'", exclusions: 'null' }</t>
  </si>
  <si>
    <t xml:space="preserve">{ action: 'send_communication', action_parameters: { channel: 'written', content_type: 'section_77_response', must_include: ['copy_of_executed_agreement','statement_of_account'] }, assertion: 'communication.type==section_77_response AND communication.sent_at &lt;= deadline' }</t>
  </si>
  <si>
    <t xml:space="preserve">12</t>
  </si>
  <si>
    <t xml:space="preserve">communication_received</t>
  </si>
  <si>
    <t xml:space="preserve">[{ type: 'communication', location: 'communications_table', selector: 'type==section_77_response', retention_years: 6 }]</t>
  </si>
  <si>
    <t xml:space="preserve">[{ condition: 'agreement unenforceable while in default of section 77', effect: 'firm cannot enforce agreement during default period' }]</t>
  </si>
  <si>
    <t xml:space="preserve">1974-07-31</t>
  </si>
  <si>
    <t xml:space="preserve">UK-CCA-003</t>
  </si>
  <si>
    <t xml:space="preserve">Provide copy of running-account credit agreement and statement on request (section 78)</t>
  </si>
  <si>
    <t xml:space="preserve">Consumer Credit Act 1974, section 78; Consumer Credit (Prescribed Periods for Giving Information) Regulations 1983, SI 1983/1569</t>
  </si>
  <si>
    <t xml:space="preserve">https://www.legislation.gov.uk/ukpga/1974/39/section/78</t>
  </si>
  <si>
    <t xml:space="preserve">{ event: 'communication_received', conditions: "communication.type=='section_78_request' AND agreement.type=='running_account_credit'", exclusions: 'null' }</t>
  </si>
  <si>
    <t xml:space="preserve">{ action: 'send_communication', action_parameters: { channel: 'written', content_type: 'section_78_response', must_include: ['copy_of_executed_agreement','statement_of_account'] }, assertion: 'communication.type==section_78_response AND communication.sent_at &lt;= deadline' }</t>
  </si>
  <si>
    <t xml:space="preserve">[{ type: 'communication', location: 'communications_table', selector: 'type==section_78_response', retention_years: 6 }]</t>
  </si>
  <si>
    <t xml:space="preserve">[{ condition: 'agreement unenforceable while in default of section 78', effect: 'firm cannot enforce agreement during default period' }]</t>
  </si>
  <si>
    <t xml:space="preserve">UK-CCA-004</t>
  </si>
  <si>
    <t xml:space="preserve">Notify customer of change in interest rate on running-account credit (section 78A)</t>
  </si>
  <si>
    <t xml:space="preserve">Consumer Credit Act 1974, section 78A</t>
  </si>
  <si>
    <t xml:space="preserve">https://www.legislation.gov.uk/ukpga/1974/39/section/78A</t>
  </si>
  <si>
    <t xml:space="preserve">{ event: 'status_changed', conditions: "case.type=='interest_rate_change' AND agreement.type=='running_account_credit'", exclusions: 'null' }</t>
  </si>
  <si>
    <t xml:space="preserve">{ action: 'send_communication', action_parameters: { channel: 'written', content_type: 'rate_change_notice_s78A' }, assertion: 'communication.type==rate_change_notice AND communication.sent_at &lt; rate_change_effective_date' }</t>
  </si>
  <si>
    <t xml:space="preserve">[{ type: 'communication', location: 'communications_table', selector: 'type==rate_change_notice', retention_years: 6 }]</t>
  </si>
  <si>
    <t xml:space="preserve">2011-02-01</t>
  </si>
  <si>
    <t xml:space="preserve">UK-CCA-005</t>
  </si>
  <si>
    <t xml:space="preserve">Issue Notice of Sums in Arrears under fixed-sum agreement (section 86B)</t>
  </si>
  <si>
    <t xml:space="preserve">Consumer Credit Act 1974, section 86B</t>
  </si>
  <si>
    <t xml:space="preserve">https://www.legislation.gov.uk/ukpga/1974/39/section/86B</t>
  </si>
  <si>
    <t xml:space="preserve">{ event: 'status_changed', conditions: "agreement.type=='fixed_sum_credit' AND customer.shortfall_equals_or_exceeds_2_payments==true AND case.last_arrears_notice_sent==false", exclusions: 'agreement.is_non_commercial OR agreement.is_small' }</t>
  </si>
  <si>
    <t xml:space="preserve">{ action: 'send_communication', action_parameters: { channel: 'written', content_type: 'notice_of_sums_in_arrears', must_include: ['arrears_information_sheet_s86A'] }, assertion: 'communication.type==notice_of_sums_in_arrears AND communication.sent_at &lt;= deadline' }</t>
  </si>
  <si>
    <t xml:space="preserve">14</t>
  </si>
  <si>
    <t xml:space="preserve">[{ type: 'communication', location: 'communications_table', selector: 'type==notice_of_sums_in_arrears', retention_years: 6 }]</t>
  </si>
  <si>
    <t xml:space="preserve">[{ condition: 'non-commercial agreement', effect: 'requirement does not apply' }, { condition: 'small agreement', effect: 'requirement does not apply' }]</t>
  </si>
  <si>
    <t xml:space="preserve">2008-10-01</t>
  </si>
  <si>
    <t xml:space="preserve">UK-CCA-006</t>
  </si>
  <si>
    <t xml:space="preserve">Issue Notice of Sums in Arrears under running-account agreement (section 86C)</t>
  </si>
  <si>
    <t xml:space="preserve">Consumer Credit Act 1974, section 86C</t>
  </si>
  <si>
    <t xml:space="preserve">https://www.legislation.gov.uk/ukpga/1974/39/section/86C</t>
  </si>
  <si>
    <t xml:space="preserve">{ event: 'status_changed', conditions: "agreement.type=='running_account_credit' AND customer.shortfall_present_for_2_consecutive_periods==true", exclusions: 'agreement.is_non_commercial OR agreement.is_small' }</t>
  </si>
  <si>
    <t xml:space="preserve">{ action: 'send_communication', action_parameters: { channel: 'written', content_type: 'notice_of_sums_in_arrears_running_account', must_include: ['arrears_information_sheet_s86A'] }, assertion: 'communication.type==notice_of_sums_in_arrears_running_account AND communication.sent_at &lt;= next_required_statement_date' }</t>
  </si>
  <si>
    <t xml:space="preserve">[{ type: 'communication', location: 'communications_table', selector: 'type==notice_of_sums_in_arrears_running_account', retention_years: 6 }]</t>
  </si>
  <si>
    <t xml:space="preserve">[{ condition: 'non-commercial or small agreement', effect: 'requirement does not apply' }, { condition: 'deadline_unit=none reflects that the notice must be incorporated in the next required statement under s.78(4); timing is tied to the statement cycle, not a fixed period from status_changed', effect: 'engine must align dispatch with the statement cycle rather than apply a fixed deadline' }]</t>
  </si>
  <si>
    <t xml:space="preserve">UK-CCA-007</t>
  </si>
  <si>
    <t xml:space="preserve">Consequences of failure to give Notice of Sums in Arrears (section 86D)</t>
  </si>
  <si>
    <t xml:space="preserve">Consumer Credit Act 1974, section 86D</t>
  </si>
  <si>
    <t xml:space="preserve">https://www.legislation.gov.uk/ukpga/1974/39/section/86D</t>
  </si>
  <si>
    <t xml:space="preserve">{ event: 'status_changed', conditions: "firm.notice_of_sums_in_arrears_overdue==true", exclusions: 'null' }</t>
  </si>
  <si>
    <t xml:space="preserve">{ action: 'suspend_activity', action_parameters: { activities: ['enforcement','interest_accrual_during_default_period','default_sums_during_default_period'] }, assertion: 'firm.agreement_not_enforced_during_default AND firm.no_interest_or_default_sums_during_default' }</t>
  </si>
  <si>
    <t xml:space="preserve">[{ type: 'system_record', location: 'external_system', selector: 'enforcement_block AND interest_suspension for case_id', retention_years: 6 }]</t>
  </si>
  <si>
    <t xml:space="preserve">UK-CCA-008</t>
  </si>
  <si>
    <t xml:space="preserve">Issue Notice of Default Sums (section 86E)</t>
  </si>
  <si>
    <t xml:space="preserve">Consumer Credit Act 1974, section 86E</t>
  </si>
  <si>
    <t xml:space="preserve">https://www.legislation.gov.uk/ukpga/1974/39/section/86E</t>
  </si>
  <si>
    <t xml:space="preserve">{ event: 'status_changed', conditions: 'default_sum.becomes_payable==true', exclusions: 'agreement.is_non_commercial OR agreement.is_small' }</t>
  </si>
  <si>
    <t xml:space="preserve">{ action: 'send_communication', action_parameters: { channel: 'written', content_type: 'notice_of_default_sums' }, assertion: 'communication.type==notice_of_default_sums AND communication.sent_at &lt;= deadline' }</t>
  </si>
  <si>
    <t xml:space="preserve">35</t>
  </si>
  <si>
    <t xml:space="preserve">[{ type: 'communication', location: 'communications_table', selector: 'type==notice_of_default_sums', retention_years: 6 }]</t>
  </si>
  <si>
    <t xml:space="preserve">[{ condition: 'non-commercial or small agreement', effect: 'requirement does not apply' }]</t>
  </si>
  <si>
    <t xml:space="preserve">UK-CCA-009</t>
  </si>
  <si>
    <t xml:space="preserve">Charge only simple interest on default sums (section 86F)</t>
  </si>
  <si>
    <t xml:space="preserve">Consumer Credit Act 1974, section 86F</t>
  </si>
  <si>
    <t xml:space="preserve">https://www.legislation.gov.uk/ukpga/1974/39/section/86F</t>
  </si>
  <si>
    <t xml:space="preserve">{ event: 'status_changed', conditions: 'firm.charging_interest_on_default_sums==true', exclusions: 'null' }</t>
  </si>
  <si>
    <t xml:space="preserve">{ action: 'perform_check', action_parameters: { check_type: 'simple_interest_only_on_default_sums' }, assertion: 'firm.compound_interest_on_default_sums == false' }</t>
  </si>
  <si>
    <t xml:space="preserve">[{ type: 'system_record', location: 'external_system', selector: 'interest_calculation_method for default_sums', retention_years: 6 }]</t>
  </si>
  <si>
    <t xml:space="preserve">UK-CCA-010</t>
  </si>
  <si>
    <t xml:space="preserve">Serve Default Notice before enforcement action (section 87)</t>
  </si>
  <si>
    <t xml:space="preserve">Consumer Credit Act 1974, section 87; Consumer Credit (Enforcement, Default and Termination Notices) Regulations 1983, SI 1983/1561</t>
  </si>
  <si>
    <t xml:space="preserve">https://www.legislation.gov.uk/ukpga/1974/39/section/87</t>
  </si>
  <si>
    <t xml:space="preserve">{ event: 'status_changed', conditions: "case.proposed_enforcement_action IN ('terminate_agreement','demand_early_repayment','recover_possession','terminate_restrict_or_defer_right','enforce_security')", exclusions: 'null' }</t>
  </si>
  <si>
    <t xml:space="preserve">{ action: 'send_communication', action_parameters: { channel: 'written', content_type: 'default_notice', must_include: ['default_information_sheet_s86A','prescribed_form_per_regulations'] }, assertion: 'communication.type==default_notice AND communication.sent_at &lt; (enforcement_action_date - 14 calendar days)' }</t>
  </si>
  <si>
    <t xml:space="preserve">[{ type: 'communication', location: 'communications_table', selector: 'type==default_notice', retention_years: 6 }]</t>
  </si>
  <si>
    <t xml:space="preserve">UK-BNPL-001</t>
  </si>
  <si>
    <t xml:space="preserve">Provide key product information before entering DPC agreement</t>
  </si>
  <si>
    <t xml:space="preserve">BNPL</t>
  </si>
  <si>
    <t xml:space="preserve">FCA PS26/1 (new DPC pre-contract information rules)</t>
  </si>
  <si>
    <t xml:space="preserve">https://www.fca.org.uk/publication/policy/ps26-1.pdf</t>
  </si>
  <si>
    <t xml:space="preserve">['bnpl']</t>
  </si>
  <si>
    <t xml:space="preserve">{ event: 'status_changed', conditions: "case.type=='dpc_application' AND case.status=='pre_contract'", exclusions: 'null' }</t>
  </si>
  <si>
    <t xml:space="preserve">{ action: 'send_communication', action_parameters: { channel: 'digital', content_type: 'dpc_key_product_information', must_include: ['credit_terms','total_repayments','instalment_schedule','missed_payment_consequences','credit_file_reporting'] }, assertion: 'communication.type==dpc_key_product_information AND communication.sent_before_agreement == true' }</t>
  </si>
  <si>
    <t xml:space="preserve">[{ type: 'communication', location: 'communications_table', selector: 'type==dpc_key_product_information', retention_years: 6 }]</t>
  </si>
  <si>
    <t xml:space="preserve">2026-07-15</t>
  </si>
  <si>
    <t xml:space="preserve">UK-BNPL-002</t>
  </si>
  <si>
    <t xml:space="preserve">Conduct proportionate creditworthiness assessment for DPC agreements including those under £50</t>
  </si>
  <si>
    <t xml:space="preserve">FCA PS26/1 applying CONC 5.2A to DPC</t>
  </si>
  <si>
    <t xml:space="preserve">{ action: 'perform_check', action_parameters: { check_type: 'dpc_creditworthiness_assessment', proportionality: 'permitted_per_PS26_1' }, assertion: 'case.creditworthiness_assessment_completed_at != null' }</t>
  </si>
  <si>
    <t xml:space="preserve">[{ type: 'case_note', location: 'case_notes_table', selector: 'type==dpc_creditworthiness_assessment', retention_years: 6 }]</t>
  </si>
  <si>
    <t xml:space="preserve">UK-BNPL-003</t>
  </si>
  <si>
    <t xml:space="preserve">Notify DPC borrower promptly of missed repayment</t>
  </si>
  <si>
    <t xml:space="preserve">FCA PS26/1 (new CONC 7.20 missed payment framework for DPC)</t>
  </si>
  <si>
    <t xml:space="preserve">{ event: 'status_changed', conditions: 'dpc.repayment_missed==true', exclusions: 'null' }</t>
  </si>
  <si>
    <t xml:space="preserve">{ action: 'send_communication', action_parameters: { channel: 'any', content_type: 'dpc_missed_payment_notification', must_include: ['adverse_consequences_explanation','reasonable_notice_before_enforcement'] }, assertion: 'communication.type==dpc_missed_payment_notification AND communication.sent_at != null' }</t>
  </si>
  <si>
    <t xml:space="preserve">[{ type: 'communication', location: 'communications_table', selector: 'type==dpc_missed_payment_notification', retention_years: 6 }]</t>
  </si>
  <si>
    <t xml:space="preserve">[{ condition: 'guarantor notification not required for DPC under PS26/1', effect: 'no separate guarantor obligation' }]</t>
  </si>
  <si>
    <t xml:space="preserve">UK-BNPL-004</t>
  </si>
  <si>
    <t xml:space="preserve">Signpost free debt advice before enforcement on DPC arrears</t>
  </si>
  <si>
    <t xml:space="preserve">FCA PS26/1 (new DPC debt advice signposting rules)</t>
  </si>
  <si>
    <t xml:space="preserve">{ event: 'status_changed', conditions: "dpc.in_arrears==true AND case.proposed_enforcement_action IN ('terminate_agreement','demand_earlier_payment','enforce_security')", exclusions: 'null' }</t>
  </si>
  <si>
    <t xml:space="preserve">{ action: 'send_communication', action_parameters: { channel: 'any', content_type: 'dpc_debt_advice_signposting', must_include: ['free_impartial_money_guidance','free_debt_advice_benefits'] }, assertion: 'communication.type==dpc_debt_advice_signposting AND communication.sent_before_enforcement == true' }</t>
  </si>
  <si>
    <t xml:space="preserve">[{ type: 'communication', location: 'communications_table', selector: 'type==dpc_debt_advice_signposting', retention_years: 6 }]</t>
  </si>
  <si>
    <t xml:space="preserve">UK-BNPL-005</t>
  </si>
  <si>
    <t xml:space="preserve">Apply DISP rules to DPC complaints</t>
  </si>
  <si>
    <t xml:space="preserve">FCA PS26/1 extending DISP and FOS compulsory jurisdiction to DPC</t>
  </si>
  <si>
    <t xml:space="preserve">{ event: 'complaint_received', conditions: "complaint.product=='dpc' AND agreement.entered_on_or_after=='2026-07-15'", exclusions: 'firm.in_TPR_and_dpc_complaints_reporting_suspended==true' }</t>
  </si>
  <si>
    <t xml:space="preserve">{ action: 'perform_check', action_parameters: { check_type: 'apply_disp_to_dpc' }, assertion: 'case treated under UK-DISP-007 through UK-DISP-011' }</t>
  </si>
  <si>
    <t xml:space="preserve">[{ type: 'case_note', location: 'case_notes_table', selector: 'type==disp_applied_to_dpc', retention_years: 6 }]</t>
  </si>
  <si>
    <t xml:space="preserve">[{ condition: 'DPC agreement entered before 15 July 2026', effect: 'agreement remains unregulated; DISP does not apply' }, { condition: 'firm in TPR; complaints reporting suspended', effect: 'reporting suspended but handling rules still apply' }]</t>
  </si>
  <si>
    <t xml:space="preserve">UK-CD-001</t>
  </si>
  <si>
    <t xml:space="preserve">Act to deliver good outcomes for retail customers (Principle 12)</t>
  </si>
  <si>
    <t xml:space="preserve">CONSUMER_DUTY</t>
  </si>
  <si>
    <t xml:space="preserve">FCA Handbook PRIN 2.1 Principle 12</t>
  </si>
  <si>
    <t xml:space="preserve">https://www.handbook.fca.org.uk/handbook/PRIN/2/1.html</t>
  </si>
  <si>
    <t xml:space="preserve">{ event: 'scheduled_check', conditions: 'firm.retail_market_business==true', exclusions: 'null' }</t>
  </si>
  <si>
    <t xml:space="preserve">{ action: 'document_assessment', action_parameters: { assessment_type: 'good_outcomes_assessment' }, assertion: 'firm.good_outcomes_assessment_in_place == true' }</t>
  </si>
  <si>
    <t xml:space="preserve">[{ type: 'document_upload', location: 'document_store', selector: 'category==consumer_duty_assessment', retention_years: 6 }]</t>
  </si>
  <si>
    <t xml:space="preserve">2023-07-31</t>
  </si>
  <si>
    <t xml:space="preserve">UK-CD-002</t>
  </si>
  <si>
    <t xml:space="preserve">Act in good faith towards retail customers (cross-cutting rule)</t>
  </si>
  <si>
    <t xml:space="preserve">FCA Handbook PRIN 2A.2.1R</t>
  </si>
  <si>
    <t xml:space="preserve">https://www.handbook.fca.org.uk/handbook/PRIN/2A/2.html</t>
  </si>
  <si>
    <t xml:space="preserve">{ event: 'communication_sent', conditions: 'communication.recipient_type==retail_customer', exclusions: 'null' }</t>
  </si>
  <si>
    <t xml:space="preserve">{ action: 'perform_check', action_parameters: { check_type: 'good_faith_standard', covers: ['honesty','fair_and_open_dealing','reasonable_expectations'] }, assertion: 'communication.good_faith_review_passed == true' }</t>
  </si>
  <si>
    <t xml:space="preserve">[{ type: 'communication', location: 'communications_table', selector: 'good_faith_review_flag', retention_years: 6 }]</t>
  </si>
  <si>
    <t xml:space="preserve">UK-CD-003</t>
  </si>
  <si>
    <t xml:space="preserve">Avoid causing foreseeable harm to retail customers (cross-cutting rule)</t>
  </si>
  <si>
    <t xml:space="preserve">FCA Handbook PRIN 2A.2.8R</t>
  </si>
  <si>
    <t xml:space="preserve">{ event: 'status_changed', conditions: "case.firm_action_proposed IN ('product_change','price_change','communication_send','support_change')", exclusions: 'risk.understood_and_accepted_by_customer==true' }</t>
  </si>
  <si>
    <t xml:space="preserve">{ action: 'perform_check', action_parameters: { check_type: 'foreseeable_harm_review' }, assertion: 'case.foreseeable_harm_review_completed == true' }</t>
  </si>
  <si>
    <t xml:space="preserve">[{ type: 'case_note', location: 'case_notes_table', selector: 'type==foreseeable_harm_review', retention_years: 6 }]</t>
  </si>
  <si>
    <t xml:space="preserve">UK-CD-004</t>
  </si>
  <si>
    <t xml:space="preserve">Enable and support retail customers to pursue financial objectives (cross-cutting rule)</t>
  </si>
  <si>
    <t xml:space="preserve">FCA Handbook PRIN 2A.2.14R</t>
  </si>
  <si>
    <t xml:space="preserve">{ event: 'scheduled_check', conditions: 'firm.customer_journey_under_review==true', exclusions: 'null' }</t>
  </si>
  <si>
    <t xml:space="preserve">{ action: 'perform_check', action_parameters: { check_type: 'customer_support_enablement' }, assertion: 'firm.support_enables_customer_objectives_evidence == true' }</t>
  </si>
  <si>
    <t xml:space="preserve">[{ type: 'document_upload', location: 'document_store', selector: 'category==customer_journey_review', retention_years: 6 }]</t>
  </si>
  <si>
    <t xml:space="preserve">UK-CD-005</t>
  </si>
  <si>
    <t xml:space="preserve">Products and services outcome: design products to meet needs of target market</t>
  </si>
  <si>
    <t xml:space="preserve">FCA Handbook PRIN 2A.3</t>
  </si>
  <si>
    <t xml:space="preserve">https://www.handbook.fca.org.uk/handbook/PRIN/2A/3.html</t>
  </si>
  <si>
    <t xml:space="preserve">{ event: 'scheduled_check', conditions: 'product.under_review_or_launch==true', exclusions: 'product.governed_by_PROD_only==true' }</t>
  </si>
  <si>
    <t xml:space="preserve">{ action: 'document_assessment', action_parameters: { assessment_type: 'product_target_market_review' }, assertion: 'product.target_market_documented AND product.distribution_strategy_documented' }</t>
  </si>
  <si>
    <t xml:space="preserve">[{ type: 'document_upload', location: 'document_store', selector: 'category==product_target_market_assessment', retention_years: 6 }]</t>
  </si>
  <si>
    <t xml:space="preserve">[{ condition: 'product within scope of PROD rules', effect: 'PRIN 2A.3 does not apply additionally' }]</t>
  </si>
  <si>
    <t xml:space="preserve">UK-CD-006</t>
  </si>
  <si>
    <t xml:space="preserve">Price and value outcome: ensure reasonable price-benefit relationship</t>
  </si>
  <si>
    <t xml:space="preserve">FCA Handbook PRIN 2A.4</t>
  </si>
  <si>
    <t xml:space="preserve">https://www.handbook.fca.org.uk/handbook/PRIN/2A/4.html</t>
  </si>
  <si>
    <t xml:space="preserve">{ event: 'scheduled_check', conditions: 'product.has_consumer_cost==true', exclusions: 'product.has_no_financial_or_non_financial_cost_to_consumer==true' }</t>
  </si>
  <si>
    <t xml:space="preserve">{ action: 'document_assessment', action_parameters: { assessment_type: 'fair_value_assessment' }, assertion: 'product.fair_value_assessment_completed_at != null' }</t>
  </si>
  <si>
    <t xml:space="preserve">[{ type: 'document_upload', location: 'document_store', selector: 'category==fair_value_assessment', retention_years: 6 }]</t>
  </si>
  <si>
    <t xml:space="preserve">[{ condition: 'product has no cost to consumer (e.g. free in-credit current account, free debt advice)', effect: 'value assessment not required' }]</t>
  </si>
  <si>
    <t xml:space="preserve">UK-CD-007</t>
  </si>
  <si>
    <t xml:space="preserve">Consumer understanding outcome: communications enable informed decisions</t>
  </si>
  <si>
    <t xml:space="preserve">FCA Handbook PRIN 2A.5</t>
  </si>
  <si>
    <t xml:space="preserve">https://www.handbook.fca.org.uk/handbook/PRIN/2A/5.html</t>
  </si>
  <si>
    <t xml:space="preserve">{ action: 'perform_check', action_parameters: { check_type: 'consumer_understanding', covers: ['clear','fair','not_misleading','tailored_to_target_market','tested_for_understanding'] }, assertion: 'communication.consumer_understanding_review_passed == true' }</t>
  </si>
  <si>
    <t xml:space="preserve">[{ type: 'communication', location: 'communications_table', selector: 'consumer_understanding_review_flag', retention_years: 6 }]</t>
  </si>
  <si>
    <t xml:space="preserve">UK-CD-008</t>
  </si>
  <si>
    <t xml:space="preserve">Consumer support outcome: design support to meet customer needs</t>
  </si>
  <si>
    <t xml:space="preserve">FCA Handbook PRIN 2A.6</t>
  </si>
  <si>
    <t xml:space="preserve">https://www.handbook.fca.org.uk/handbook/PRIN/2A/6.html</t>
  </si>
  <si>
    <t xml:space="preserve">{ event: 'scheduled_check', conditions: 'firm.customer_support_under_review==true', exclusions: 'null' }</t>
  </si>
  <si>
    <t xml:space="preserve">{ action: 'document_assessment', action_parameters: { assessment_type: 'customer_support_design_review', covers: ['vulnerable_customer_needs','no_unreasonable_barriers','appropriate_friction_to_prevent_harm'] }, assertion: 'firm.customer_support_review_recorded == true' }</t>
  </si>
  <si>
    <t xml:space="preserve">[{ type: 'document_upload', location: 'document_store', selector: 'category==customer_support_design_review', retention_years: 6 }]</t>
  </si>
  <si>
    <t xml:space="preserve">UK-CD-009</t>
  </si>
  <si>
    <t xml:space="preserve">Vulnerable customer consideration: tailor treatment to characteristics of vulnerability</t>
  </si>
  <si>
    <t xml:space="preserve">FCA Handbook PRIN 2A.6.2R(2) and FG21/1</t>
  </si>
  <si>
    <t xml:space="preserve">['vulnerable']</t>
  </si>
  <si>
    <t xml:space="preserve">{ event: 'communication_sent', conditions: 'customer.vulnerability_indicator==true', exclusions: 'null' }</t>
  </si>
  <si>
    <t xml:space="preserve">{ action: 'perform_check', action_parameters: { check_type: 'vulnerability_tailoring' }, assertion: 'case.vulnerability_tailoring_applied == true AND case.vulnerability_tailoring_recorded == true' }</t>
  </si>
  <si>
    <t xml:space="preserve">[{ type: 'case_note', location: 'case_notes_table', selector: 'type==vulnerability_tailoring', retention_years: 6 }]</t>
  </si>
  <si>
    <t xml:space="preserve">UK-CD-010</t>
  </si>
  <si>
    <t xml:space="preserve">Annual board assessment of outcomes for retail customers</t>
  </si>
  <si>
    <t xml:space="preserve">FCA Handbook PRIN 2A.8.4R</t>
  </si>
  <si>
    <t xml:space="preserve">https://www.handbook.fca.org.uk/handbook/PRIN/2A/8.html</t>
  </si>
  <si>
    <t xml:space="preserve">{ event: 'scheduled_check', conditions: 'firm.last_board_consumer_duty_assessment_age_months &gt;= 12', exclusions: 'null' }</t>
  </si>
  <si>
    <t xml:space="preserve">{ action: 'document_assessment', action_parameters: { assessment_type: 'annual_board_consumer_duty_report', must_include: ['outcomes_monitoring_results','evidence_of_poor_outcomes','customer_cohort_comparisons','remediation_actions','strategy_changes'] }, assertion: 'firm.board_consumer_duty_report_signed_off_at != null' }</t>
  </si>
  <si>
    <t xml:space="preserve">[{ type: 'document_upload', location: 'document_store', selector: 'category==board_consumer_duty_report', retention_years: 6 }]</t>
  </si>
  <si>
    <t xml:space="preserve">[{ condition: 'PRIN 2A.8.4R requires the assessment at least annually; 365 calendar_days is the deterministic conversion of annually for engine purposes; firms may align with their financial year if recorded', effect: 'engine applies 365-day deadline; firm-policy override permitted if documented' }]</t>
  </si>
  <si>
    <t xml:space="preserve">UK-CONC-019</t>
  </si>
  <si>
    <t xml:space="preserve">27-month persistent debt: repeat 18-month notification where customer remains in persistent debt</t>
  </si>
  <si>
    <t xml:space="preserve">FCA Handbook CONC 6.7.27R(4) read with CONC 6.7.27R(1) (Consumer Credit (Earlier Intervention and Persistent Debt) Instrument 2018)</t>
  </si>
  <si>
    <t xml:space="preserve">{ event: 'scheduled_check', conditions: "customer.persistent_debt_status==true AND customer.months_since_first_persistent_debt_notification &gt;= 9 AND customer.last_18_months_interest_fees_charges &gt; customer.last_18_months_principal_repaid", exclusions: 'firm.already_taking_equivalent_or_more_favourable_steps==true' }</t>
  </si>
  <si>
    <t xml:space="preserve">{ action: 'send_communication', action_parameters: { channel: 'customer_preferred', content_type: 'persistent_debt_second_notification', must_include: ['continued_persistent_debt_warning','expected_36_month_action','encourage_higher_repayment','debt_advice_signposting'] }, assertion: 'communication.type==persistent_debt_second_notification AND communication.sent_at != null' }</t>
  </si>
  <si>
    <t xml:space="preserve">[{ type: 'communication', location: 'communications_table', selector: 'type==persistent_debt_second_notification', retention_years: 6 }]</t>
  </si>
  <si>
    <t xml:space="preserve">[{ condition: 'firm already taking equivalent or more favourable forbearance steps', effect: 'requirement waived while those steps continue' }]</t>
  </si>
  <si>
    <t xml:space="preserve">UK-CONC-020</t>
  </si>
  <si>
    <t xml:space="preserve">36-month persistent debt: take reasonable steps to assist customer to repay</t>
  </si>
  <si>
    <t xml:space="preserve">FCA Handbook CONC 6.7.31R read with CONC 6.7.40G (Consumer Credit (Earlier Intervention and Persistent Debt) Instrument 2018)</t>
  </si>
  <si>
    <t xml:space="preserve">{ event: 'scheduled_check', conditions: "customer.persistent_debt_status==true AND customer.months_since_first_persistent_debt_notification &gt;= 18 AND customer.last_36_months_interest_fees_charges &gt; customer.last_36_months_principal_repaid", exclusions: 'null' }</t>
  </si>
  <si>
    <t xml:space="preserve">{ action: 'send_communication', action_parameters: { channel: 'customer_preferred', content_type: 'persistent_debt_36_month_action', must_include: ['proposed_repayment_options','suspension_of_card_use_warning','reasonable_repayment_period_3_to_4_years','consequence_of_no_response','debt_advice_signposting'] }, assertion: 'communication.type==persistent_debt_36_month_action AND communication.sent_at != null AND case.repayment_options_offered == true' }</t>
  </si>
  <si>
    <t xml:space="preserve">[{ type: 'communication', location: 'communications_table', selector: 'type==persistent_debt_36_month_action', retention_years: 6 }, { type: 'case_note', location: 'case_notes_table', selector: 'type==repayment_options_offered', retention_years: 6 }]</t>
  </si>
  <si>
    <t xml:space="preserve">[{ condition: 'repayment of full balance within reasonable period would cause customer financial difficulties', effect: 'firm must treat customer with forbearance per CONC 7.3 instead' }]</t>
  </si>
  <si>
    <t xml:space="preserve">UK-CONC-021</t>
  </si>
  <si>
    <t xml:space="preserve">Provide adequate pre-contract explanation to enable assessment of suitability</t>
  </si>
  <si>
    <t xml:space="preserve">FCA Handbook CONC 4.2.5R</t>
  </si>
  <si>
    <t xml:space="preserve">https://www.handbook.fca.org.uk/handbook/CONC/4/2.html</t>
  </si>
  <si>
    <t xml:space="preserve">{ event: 'status_changed', conditions: "case.type=='credit_application' AND case.status=='pre_contract' AND agreement.total_credit &lt;= 60260", exclusions: "agreement.total_credit &gt; 60260 AND agreement.is_residential_renovation==false OR agreement.is_overdraft==true" }</t>
  </si>
  <si>
    <t xml:space="preserve">{ action: 'send_communication', action_parameters: { channel: 'any', content_type: 'adequate_explanation', must_include: ['features_making_credit_unsuitable_for_particular_uses','periodic_and_total_payment_amounts','features_with_significant_adverse_effect','consequences_of_missed_payments','right_to_withdraw_under_section_66A'] }, assertion: 'communication.type==adequate_explanation AND communication.sent_before_agreement == true' }</t>
  </si>
  <si>
    <t xml:space="preserve">[{ type: 'communication', location: 'communications_table', selector: 'type==adequate_explanation', retention_years: 6 }]</t>
  </si>
  <si>
    <t xml:space="preserve">[{ condition: 'credit broker has complied with CONC 4.2.5R in respect of the agreement', effect: 'lender duty discharged through broker compliance; lender should retain evidence of broker compliance' }, { condition: 'agreement is for credit exceeding £60,260 and is not a residential renovation agreement', effect: 'CONC 4.2 does not apply' }, { condition: 'agreement is a non-business overdraft', effect: 'CONC 4.2 does not apply' }]</t>
  </si>
  <si>
    <t xml:space="preserve">UK-CONC-022</t>
  </si>
  <si>
    <t xml:space="preserve">Provide oral explanation of key matters when interacting with customer orally or in person</t>
  </si>
  <si>
    <t xml:space="preserve">FCA Handbook CONC 4.2.5R(4)</t>
  </si>
  <si>
    <t xml:space="preserve">{ event: 'status_changed', conditions: "case.type=='credit_application' AND case.status=='pre_contract' AND (case.interaction_channel=='phone' OR case.interaction_channel=='in_person')", exclusions: 'null' }</t>
  </si>
  <si>
    <t xml:space="preserve">{ action: 'send_communication', action_parameters: { channel: 'oral', content_type: 'oral_explanation', must_include: ['features_with_significant_adverse_effect','consequences_of_missed_payments','advice_to_consider_information_provided'] }, assertion: 'communication.type==oral_explanation AND communication.channel==oral AND communication.sent_before_agreement == true' }</t>
  </si>
  <si>
    <t xml:space="preserve">[{ type: 'communication', location: 'communications_table', selector: 'type==oral_explanation', retention_years: 6 }, { type: 'system_record', location: 'communications_table', selector: 'call_recording OR oral_explanation_transcript', retention_years: 6 }]</t>
  </si>
  <si>
    <t xml:space="preserve">[{ condition: 'all pre-contract interaction was conducted in writing without oral or in-person contact', effect: 'oral requirement does not apply; written explanation under UK-CONC-021 suffices' }]</t>
  </si>
  <si>
    <t xml:space="preserve">UK-CONC-023</t>
  </si>
  <si>
    <t xml:space="preserve">Include additional pre-contract information in specified cases</t>
  </si>
  <si>
    <t xml:space="preserve">FCA Handbook CONC 4.2.15R</t>
  </si>
  <si>
    <t xml:space="preserve">{ event: 'status_changed', conditions: "case.type=='credit_application' AND case.status=='pre_contract' AND (agreement.has_differential_rates==true OR agreement.has_risk_based_pricing==true OR agreement.has_introductory_offer==true)", exclusions: "agreement.product_type IN ('retail_revolving_credit','bnpl')" }</t>
  </si>
  <si>
    <t xml:space="preserve">{ action: 'send_communication', action_parameters: { channel: 'any', content_type: 'specified_case_disclosure', must_include_conditionally: { differential_rates: 'breakdown_of_rates_by_element', risk_based_pricing: 'pricing_may_be_adjusted_by_risk_warning', introductory_offer: 'limitations_of_introductory_offer' } }, assertion: 'communication.type==specified_case_disclosure AND communication.sent_before_agreement == true' }</t>
  </si>
  <si>
    <t xml:space="preserve">[{ type: 'communication', location: 'communications_table', selector: 'type==specified_case_disclosure', retention_years: 6 }]</t>
  </si>
  <si>
    <t xml:space="preserve">[{ condition: 'agreement is retail revolving credit or BNPL', effect: 'introductory offer disclosure limitation does not apply; other CONC 4.2.15R conditions still apply where relevant' }]</t>
  </si>
  <si>
    <t xml:space="preserve">UK-CONC-024</t>
  </si>
  <si>
    <t xml:space="preserve">Include continuous payment authority terms in plain language as part of agreement</t>
  </si>
  <si>
    <t xml:space="preserve">FCA Handbook CONC 4.6.3R</t>
  </si>
  <si>
    <t xml:space="preserve">https://www.handbook.fca.org.uk/handbook/CONC/4/6.html</t>
  </si>
  <si>
    <t xml:space="preserve">{ event: 'status_changed', conditions: "case.type=='credit_application' AND case.status=='pre_contract' AND agreement.includes_continuous_payment_authority==true", exclusions: 'null' }</t>
  </si>
  <si>
    <t xml:space="preserve">{ action: 'perform_check', action_parameters: { check_type: 'cpa_terms_in_agreement', covers: ['cpa_terms_present_in_credit_agreement','language_plain_and_intelligible'] }, assertion: 'agreement.cpa_terms_included == true AND agreement.cpa_terms_plain_language_review_passed == true' }</t>
  </si>
  <si>
    <t xml:space="preserve">[{ type: 'document_upload', location: 'document_store', selector: 'category==credit_agreement AND contains_cpa_terms==true', retention_years: 6 }]</t>
  </si>
  <si>
    <t xml:space="preserve">UK-CONC-025</t>
  </si>
  <si>
    <t xml:space="preserve">Provide adequate explanation of continuous payment authority before agreement</t>
  </si>
  <si>
    <t xml:space="preserve">FCA Handbook CONC 4.6.2R</t>
  </si>
  <si>
    <t xml:space="preserve">{ action: 'send_communication', action_parameters: { channel: 'any', content_type: 'cpa_adequate_explanation', must_include: ['how_cpa_works','customer_right_to_cancel_cpa_with_payment_service_provider','customer_right_to_cancel_with_firm','consequences_of_cancellation_for_credit_obligation'] }, assertion: 'communication.type==cpa_adequate_explanation AND communication.sent_before_agreement == true' }</t>
  </si>
  <si>
    <t xml:space="preserve">[{ type: 'communication', location: 'communications_table', selector: 'type==cpa_adequate_explanation', retention_years: 6 }]</t>
  </si>
  <si>
    <t xml:space="preserve">UK-CONC-026</t>
  </si>
  <si>
    <t xml:space="preserve">Provide adequate explanation to guarantor before guarantee is given</t>
  </si>
  <si>
    <t xml:space="preserve">FCA Handbook CONC 4.6.5R (applying CONC 4.6.2R(2) to guarantors)</t>
  </si>
  <si>
    <t xml:space="preserve">{ event: 'status_changed', conditions: "case.type=='credit_application' AND case.status=='pre_contract' AND agreement.has_guarantor==true", exclusions: 'null' }</t>
  </si>
  <si>
    <t xml:space="preserve">{ action: 'send_communication', action_parameters: { channel: 'any', content_type: 'guarantor_adequate_explanation', recipient: 'guarantor', must_include: ['features_making_credit_unsuitable_for_particular_uses','periodic_and_total_payment_amounts','features_with_significant_adverse_effect','consequences_for_guarantor_of_borrower_default','guarantor_right_to_withdraw'] }, assertion: 'communication.type==guarantor_adequate_explanation AND communication.recipient==guarantor AND communication.sent_before_guarantee_given == true' }</t>
  </si>
  <si>
    <t xml:space="preserve">[{ type: 'communication', location: 'communications_table', selector: 'type==guarantor_adequate_explanation', retention_years: 6 }]</t>
  </si>
  <si>
    <t xml:space="preserve">UK-CONC-027</t>
  </si>
  <si>
    <t xml:space="preserve">Disclose commission affecting impartiality or material to customer decision</t>
  </si>
  <si>
    <t xml:space="preserve">FCA Handbook CONC 4.5.3R</t>
  </si>
  <si>
    <t xml:space="preserve">https://www.handbook.fca.org.uk/handbook/CONC/4/5.html</t>
  </si>
  <si>
    <t xml:space="preserve">{ event: 'status_changed', conditions: "case.type=='credit_application' AND case.status=='pre_contract' AND agreement.broker_commission_paid==true AND (agreement.broker_commission_affects_impartiality==true OR agreement.broker_commission_material_to_decision==true)", exclusions: 'null' }</t>
  </si>
  <si>
    <t xml:space="preserve">{ action: 'send_communication', action_parameters: { channel: 'any', content_type: 'commission_disclosure', must_include: ['existence_of_commission','source_of_commission_payer','if_requested_amount_or_likely_amount'] }, assertion: 'communication.type==commission_disclosure AND communication.sent_before_agreement == true' }</t>
  </si>
  <si>
    <t xml:space="preserve">[{ type: 'communication', location: 'communications_table', selector: 'type==commission_disclosure', retention_years: 6 }]</t>
  </si>
  <si>
    <t xml:space="preserve">[{ condition: 'commission knowledge could not actually or potentially affect impartiality or have material impact on customer transactional decision', effect: 'disclosure under CONC 4.5.3R not required' }, { condition: 'firm-specific FCA Motor Finance review may impose stricter requirements per CP24/5 and subsequent instruments', effect: 'monitor for sector-specific updates and re-version as required' }]</t>
  </si>
  <si>
    <t xml:space="preserve">UK-CONC-028</t>
  </si>
  <si>
    <t xml:space="preserve">Do not engage in unfair business practices at pre-contract stage</t>
  </si>
  <si>
    <t xml:space="preserve">FCA Handbook CONC 4.8.2R</t>
  </si>
  <si>
    <t xml:space="preserve">https://www.handbook.fca.org.uk/handbook/CONC/4/8.html</t>
  </si>
  <si>
    <t xml:space="preserve">{ action: 'perform_check', action_parameters: { check_type: 'pre_contract_fair_practice_review', covers: ['no_pressure_sales','no_misleading_omissions','no_aggressive_practices','sufficient_time_for_customer_to_consider'] }, assertion: 'case.pre_contract_fair_practice_review_passed == true AND case.pre_contract_fair_practice_recorded == true' }</t>
  </si>
  <si>
    <t xml:space="preserve">[{ type: 'case_note', location: 'case_notes_table', selector: 'type==pre_contract_fair_practice_review', retention_years: 6 }]</t>
  </si>
  <si>
    <t xml:space="preserve">[{ condition: 'CONC 4.8 was inserted by the Consumer Credit (High-Cost Short-Term Credit) Instrument 2014 and amended thereafter', effect: 'verify exact in-force rule numbering at decomposition time; current cite CONC 4.8.2R reflects the principal unfair-practices rule' }]</t>
  </si>
  <si>
    <t xml:space="preserve">UK-CCA-011</t>
  </si>
  <si>
    <t xml:space="preserve">Provide statutory pre-contract explanation (section 55C)</t>
  </si>
  <si>
    <t xml:space="preserve">Consumer Credit Act 1974, section 55C (inserted by Consumer Credit (EU Directive) Regulations 2010, SI 2010/1010)</t>
  </si>
  <si>
    <t xml:space="preserve">https://www.legislation.gov.uk/ukpga/1974/39/section/55C</t>
  </si>
  <si>
    <t xml:space="preserve">{ action: 'send_communication', action_parameters: { channel: 'written', content_type: 'statutory_pre_contract_explanation', must_include: ['key_features_of_credit','total_amount_payable','amount_and_frequency_of_repayments','consequences_of_missed_payments','right_to_withdraw_under_section_66A'] }, assertion: 'communication.type==statutory_pre_contract_explanation AND communication.sent_before_agreement == true' }</t>
  </si>
  <si>
    <t xml:space="preserve">[{ type: 'communication', location: 'communications_table', selector: 'type==statutory_pre_contract_explanation', retention_years: 6 }]</t>
  </si>
  <si>
    <t xml:space="preserve">[{ condition: 'agreement is excluded under s.55C(8) (exceeds £60,260 and not residential renovation, or is non-business overdraft)', effect: 'requirement does not apply' }, { condition: 'compliance with CONC 4.2.5R adequate explanation may discharge s.55C duty', effect: 'evidence of CONC 4.2 compliance can support s.55C compliance, but the statutory duty remains independent' }]</t>
  </si>
  <si>
    <t xml:space="preserve">UK-CCA-012</t>
  </si>
  <si>
    <t xml:space="preserve">Honour debtor right of withdrawal within 14 days (section 66A)</t>
  </si>
  <si>
    <t xml:space="preserve">Consumer Credit Act 1974, section 66A (inserted by SI 2010/1010)</t>
  </si>
  <si>
    <t xml:space="preserve">https://www.legislation.gov.uk/ukpga/1974/39/section/66A</t>
  </si>
  <si>
    <t xml:space="preserve">{ event: 'communication_received', conditions: "communication.type=='withdrawal_notice' AND communication.received_within_14_days_of_relevant_day==true", exclusions: "agreement.is_excluded_under_s_66A_14==true OR agreement.total_credit &gt; 60260 AND agreement.is_residential_renovation==false" }</t>
  </si>
  <si>
    <t xml:space="preserve">{ action: 'perform_check', action_parameters: { check_type: 'process_withdrawal', covers: ['accept_oral_or_written_notice','treat_agreement_as_never_entered','release_ancillary_service_agreement'] }, assertion: 'case.withdrawal_processed == true AND case.agreement_treated_as_void == true' }</t>
  </si>
  <si>
    <t xml:space="preserve">[{ type: 'communication', location: 'communications_table', selector: 'type==withdrawal_acknowledgement', retention_years: 6 }, { type: 'case_note', location: 'case_notes_table', selector: 'type==withdrawal_processed', retention_years: 6 }]</t>
  </si>
  <si>
    <t xml:space="preserve">[{ condition: 'agreement is an excluded agreement under s.66A(14) (credit exceeds £60,260 and not residential renovation, or land-secured, or for the purpose specified in s.66A(14)(c) or (d))', effect: 'right of withdrawal does not apply' }, { condition: 'overlap with section 67 cancellation right (off-trade-premises agreements)', effect: 'firm should determine whether s.66A or s.67 applies; both may be available but the customer typically elects one' }]</t>
  </si>
  <si>
    <t xml:space="preserve">UK-CCA-013</t>
  </si>
  <si>
    <t xml:space="preserve">Process repayment after withdrawal within 30 days (section 66A(10))</t>
  </si>
  <si>
    <t xml:space="preserve">Consumer Credit Act 1974, section 66A(9) and (10)</t>
  </si>
  <si>
    <t xml:space="preserve">{ event: 'status_changed', conditions: "case.withdrawal_notice_received==true", exclusions: 'null' }</t>
  </si>
  <si>
    <t xml:space="preserve">{ action: 'perform_check', action_parameters: { check_type: 'withdrawal_settlement', covers: ['calculate_credit_plus_accrued_interest','exclude_compensation_fees_and_charges_except_non_returnable_public_admin','accept_repayment_within_30_days'] }, assertion: 'case.withdrawal_settlement_calculated == true AND (case.repayment_received_by &lt;= withdrawal_notice_received_at + 30 days OR case.recovery_action_taken == true)' }</t>
  </si>
  <si>
    <t xml:space="preserve">[{ type: 'case_note', location: 'case_notes_table', selector: 'type==withdrawal_settlement_calculation', retention_years: 6 }, { type: 'payment_record', location: 'external_system', selector: 'type==withdrawal_repayment AND case_id==case.id', retention_years: 6 }]</t>
  </si>
  <si>
    <t xml:space="preserve">[{ condition: 'non-returnable charges paid by creditor to public administrative body', effect: 'these charges remain payable by debtor under s.66A(9)(b)' }]</t>
  </si>
  <si>
    <t xml:space="preserve">UK-CCA-014</t>
  </si>
  <si>
    <t xml:space="preserve">Honour debtor right of early settlement (section 94)</t>
  </si>
  <si>
    <t xml:space="preserve">Consumer Credit Act 1974, section 94</t>
  </si>
  <si>
    <t xml:space="preserve">https://www.legislation.gov.uk/ukpga/1974/39/section/94</t>
  </si>
  <si>
    <t xml:space="preserve">{ event: 'communication_received', conditions: "communication.type=='early_settlement_notice' AND agreement.type=='fixed_sum_credit'", exclusions: 'null' }</t>
  </si>
  <si>
    <t xml:space="preserve">{ action: 'perform_check', action_parameters: { check_type: 'process_early_settlement', covers: ['accept_notice','calculate_settlement_amount_per_consumer_credit_early_settlement_regulations_2004','accept_partial_or_full_payment'] }, assertion: 'case.early_settlement_processed == true AND case.settlement_amount_calculated == true' }</t>
  </si>
  <si>
    <t xml:space="preserve">[{ type: 'communication', location: 'communications_table', selector: 'type==early_settlement_calculation', retention_years: 6 }, { type: 'case_note', location: 'case_notes_table', selector: 'type==early_settlement_processed', retention_years: 6 }]</t>
  </si>
  <si>
    <t xml:space="preserve">[{ condition: 'early settlement rebate calculation governed by Consumer Credit (Early Settlement) Regulations 2004, SI 2004/1483', effect: 'firm must apply the statutory rebate formula' }]</t>
  </si>
  <si>
    <t xml:space="preserve">UK-CCA-015</t>
  </si>
  <si>
    <t xml:space="preserve">Provide early settlement information on request (section 97)</t>
  </si>
  <si>
    <t xml:space="preserve">Consumer Credit Act 1974, section 97</t>
  </si>
  <si>
    <t xml:space="preserve">https://www.legislation.gov.uk/ukpga/1974/39/section/97</t>
  </si>
  <si>
    <t xml:space="preserve">{ event: 'communication_received', conditions: "communication.type=='section_97_request' AND agreement.type=='fixed_sum_credit'", exclusions: 'null' }</t>
  </si>
  <si>
    <t xml:space="preserve">{ action: 'send_communication', action_parameters: { channel: 'written', content_type: 'section_97_settlement_statement', must_include: ['amount_required_to_discharge_debtor_indebtedness','statement_in_prescribed_form'] }, assertion: 'communication.type==section_97_settlement_statement AND communication.sent_at &lt;= deadline' }</t>
  </si>
  <si>
    <t xml:space="preserve">[{ type: 'communication', location: 'communications_table', selector: 'type==section_97_settlement_statement', retention_years: 6 }]</t>
  </si>
  <si>
    <t xml:space="preserve">[{ condition: 'agreement unenforceable while in default of section 97', effect: 'firm cannot enforce agreement during default period' }, { condition: 'Consumer Credit (Settlement Information) Regulations 1983 SI 1983/1564 originally prescribed 12 working days; the period was amended by the Consumer Credit (EU Directive) Regulations 2010 SI 2010/1010', effect: 'peer reviewer to verify current prescribed period against the in-force version of SI 1983/1564; row at peer_review pending verification' }]</t>
  </si>
  <si>
    <t xml:space="preserve">UK-CCA-016</t>
  </si>
  <si>
    <t xml:space="preserve">Provide partial early settlement information (section 97A)</t>
  </si>
  <si>
    <t xml:space="preserve">Consumer Credit Act 1974, section 97A (inserted by SI 2010/1010)</t>
  </si>
  <si>
    <t xml:space="preserve">https://www.legislation.gov.uk/ukpga/1974/39/section/97A</t>
  </si>
  <si>
    <t xml:space="preserve">{ event: 'communication_received', conditions: "communication.type=='section_97A_request' AND agreement.type=='fixed_sum_credit'", exclusions: 'null' }</t>
  </si>
  <si>
    <t xml:space="preserve">{ action: 'send_communication', action_parameters: { channel: 'written', content_type: 'section_97A_partial_settlement_statement', must_include: ['calculation_of_reduction_in_total_charge','remaining_balance_after_partial_payment'] }, assertion: 'communication.type==section_97A_partial_settlement_statement AND communication.sent_after_partial_payment == true' }</t>
  </si>
  <si>
    <t xml:space="preserve">[{ type: 'communication', location: 'communications_table', selector: 'type==section_97A_partial_settlement_statement', retention_years: 6 }]</t>
  </si>
  <si>
    <t xml:space="preserve">UK-CCA-017</t>
  </si>
  <si>
    <t xml:space="preserve">Serve notice before terminating regulated agreement (section 98)</t>
  </si>
  <si>
    <t xml:space="preserve">Consumer Credit Act 1974, section 98</t>
  </si>
  <si>
    <t xml:space="preserve">https://www.legislation.gov.uk/ukpga/1974/39/section/98</t>
  </si>
  <si>
    <t xml:space="preserve">{ event: 'status_changed', conditions: "case.proposed_action=='terminate_agreement' AND agreement.duration_specified==true AND case.no_default_basis==true", exclusions: "agreement.is_non_commercial OR agreement.is_small" }</t>
  </si>
  <si>
    <t xml:space="preserve">{ action: 'send_communication', action_parameters: { channel: 'written', content_type: 'section_98_notice_of_termination', must_include: ['statement_of_intention_to_terminate','prescribed_form_per_1983_Regulations'] }, assertion: 'communication.type==section_98_notice_of_termination AND communication.sent_at &lt; (termination_effective_date - 7 calendar days)' }</t>
  </si>
  <si>
    <t xml:space="preserve">[{ type: 'communication', location: 'communications_table', selector: 'type==section_98_notice_of_termination', retention_years: 6 }]</t>
  </si>
  <si>
    <t xml:space="preserve">[{ condition: 'non-commercial or small agreement', effect: 'requirement does not apply' }, { condition: 'termination based on debtor default', effect: 's.87 default notice applies instead' }, { condition: 'prescribed form set by Consumer Credit (Enforcement, Default and Termination Notices) Regulations 1983, SI 1983/1561', effect: 'firm must use prescribed form' }]</t>
  </si>
  <si>
    <t xml:space="preserve">UK-CCA-018</t>
  </si>
  <si>
    <t xml:space="preserve">Serve notice before terminating open-end agreement (section 98A)</t>
  </si>
  <si>
    <t xml:space="preserve">Consumer Credit Act 1974, section 98A (inserted by SI 2010/1010)</t>
  </si>
  <si>
    <t xml:space="preserve">https://www.legislation.gov.uk/ukpga/1974/39/section/98A</t>
  </si>
  <si>
    <t xml:space="preserve">{ event: 'status_changed', conditions: "case.proposed_action=='terminate_open_end_agreement' AND agreement.type=='running_account_credit' AND agreement.is_open_end==true", exclusions: 'null' }</t>
  </si>
  <si>
    <t xml:space="preserve">{ action: 'send_communication', action_parameters: { channel: 'written', content_type: 'section_98A_notice_of_termination', must_include: ['statement_of_intention_to_terminate','reason_for_termination_if_required','effective_date_of_termination'] }, assertion: 'communication.type==section_98A_notice_of_termination AND communication.sent_at &lt; (termination_effective_date - 60 calendar days)' }</t>
  </si>
  <si>
    <t xml:space="preserve">[{ type: 'communication', location: 'communications_table', selector: 'type==section_98A_notice_of_termination', retention_years: 6 }]</t>
  </si>
  <si>
    <t xml:space="preserve">[{ condition: 'agreement allows for shorter notice period and customer is in default of payment', effect: 'shorter notice may apply under s.98A(4)' }]</t>
  </si>
  <si>
    <t xml:space="preserve">UK-CCA-019</t>
  </si>
  <si>
    <t xml:space="preserve">Serve section 76 notice before taking enforcement action on entitled action</t>
  </si>
  <si>
    <t xml:space="preserve">Consumer Credit Act 1974, section 76</t>
  </si>
  <si>
    <t xml:space="preserve">https://www.legislation.gov.uk/ukpga/1974/39/section/76</t>
  </si>
  <si>
    <t xml:space="preserve">{ event: 'status_changed', conditions: "case.proposed_action IN ('demand_earlier_payment','recover_possession','terminate_restrict_or_defer_right','enforce_security') AND case.no_default_basis==true", exclusions: "agreement.is_non_commercial OR agreement.is_small" }</t>
  </si>
  <si>
    <t xml:space="preserve">{ action: 'send_communication', action_parameters: { channel: 'written', content_type: 'section_76_notice', must_include: ['statement_of_proposed_action','prescribed_form_per_1983_Regulations'] }, assertion: 'communication.type==section_76_notice AND communication.sent_at &lt; (action_effective_date - 7 calendar days)' }</t>
  </si>
  <si>
    <t xml:space="preserve">[{ type: 'communication', location: 'communications_table', selector: 'type==section_76_notice', retention_years: 6 }]</t>
  </si>
  <si>
    <t xml:space="preserve">[{ condition: 'non-commercial or small agreement', effect: 'requirement does not apply' }, { condition: 'action based on debtor default', effect: 's.87 default notice applies instead' }, { condition: 'prescribed form set by Consumer Credit (Enforcement, Default and Termination Notices) Regulations 1983, SI 1983/1561', effect: 'firm must use prescribed form' }]</t>
  </si>
  <si>
    <t xml:space="preserve">UK-DISP-012</t>
  </si>
  <si>
    <t xml:space="preserve">Establish and operate effective complaint-handling procedures</t>
  </si>
  <si>
    <t xml:space="preserve">FCA Handbook DISP 1.3.1R</t>
  </si>
  <si>
    <t xml:space="preserve">https://www.handbook.fca.org.uk/handbook/DISP/1/3.html</t>
  </si>
  <si>
    <t xml:space="preserve">{ event: 'scheduled_check', conditions: "firm.is_respondent==true", exclusions: 'null' }</t>
  </si>
  <si>
    <t xml:space="preserve">{ action: 'document_assessment', action_parameters: { assessment_type: 'complaint_handling_procedures', covers: ['written_procedures_in_place','procedures_published_to_staff','procedures_cover_receipt_investigation_and_response','procedures_reviewed_periodically'] }, assertion: 'firm.complaint_procedures_documented == true AND firm.complaint_procedures_last_reviewed_at != null' }</t>
  </si>
  <si>
    <t xml:space="preserve">[{ type: 'document_upload', location: 'document_store', selector: 'category==complaint_handling_procedures', retention_years: 6 }]</t>
  </si>
  <si>
    <t xml:space="preserve">UK-DISP-013</t>
  </si>
  <si>
    <t xml:space="preserve">Appoint individual responsible for oversight of DISP 1 compliance</t>
  </si>
  <si>
    <t xml:space="preserve">FCA Handbook DISP 1.3.7R</t>
  </si>
  <si>
    <t xml:space="preserve">{ action: 'document_assessment', action_parameters: { assessment_type: 'disp_oversight_appointment', covers: ['individual_appointed','individual_holds_governing_function','appointment_recorded'] }, assertion: 'firm.disp_oversight_individual_appointed == true AND firm.disp_oversight_individual_governing_function == true' }</t>
  </si>
  <si>
    <t xml:space="preserve">[{ type: 'document_upload', location: 'document_store', selector: 'category==disp_oversight_appointment', retention_years: 6 }]</t>
  </si>
  <si>
    <t xml:space="preserve">[{ condition: 'firm not required to notify the name to FCA unless requested', effect: 'name retained on firm record; provide on request' }]</t>
  </si>
  <si>
    <t xml:space="preserve">UK-DISP-014</t>
  </si>
  <si>
    <t xml:space="preserve">Identify and remediate recurring or systemic complaint problems</t>
  </si>
  <si>
    <t xml:space="preserve">FCA Handbook DISP 1.3.3R and DISP 1.3.6R</t>
  </si>
  <si>
    <t xml:space="preserve">{ event: 'scheduled_check', conditions: "firm.complaint_root_cause_analysis_due==true", exclusions: 'null' }</t>
  </si>
  <si>
    <t xml:space="preserve">{ action: 'document_assessment', action_parameters: { assessment_type: 'root_cause_analysis', covers: ['identify_recurring_problems','identify_systemic_problems','consider_non_complaining_customers','take_appropriate_remediation'] }, assertion: 'firm.root_cause_analysis_completed == true AND firm.remediation_actions_documented == true' }</t>
  </si>
  <si>
    <t xml:space="preserve">[{ type: 'document_upload', location: 'document_store', selector: 'category==root_cause_analysis', retention_years: 6 }]</t>
  </si>
  <si>
    <t xml:space="preserve">UK-DISP-015</t>
  </si>
  <si>
    <t xml:space="preserve">Retain complaint records for minimum statutory period</t>
  </si>
  <si>
    <t xml:space="preserve">FCA Handbook DISP 1.9.1R</t>
  </si>
  <si>
    <t xml:space="preserve">https://www.handbook.fca.org.uk/handbook/DISP/1/9.html</t>
  </si>
  <si>
    <t xml:space="preserve">{ event: 'status_changed', conditions: "case.status=='closed' AND case.type=='complaint'", exclusions: 'null' }</t>
  </si>
  <si>
    <t xml:space="preserve">{ action: 'document_assessment', action_parameters: { assessment_type: 'complaint_record_retention', covers: ['name_of_complainant','substance_of_complaint','correspondence','date_of_response','any_redress_or_remedial_action'], retention_period_years: 5 }, assertion: 'case.record_retention_marker == true AND case.retention_end_date &gt;= case.closed_at + 5 years' }</t>
  </si>
  <si>
    <t xml:space="preserve">[{ type: 'system_record', location: 'case_notes_table', selector: 'type==complaint_record AND case_id==case.id', retention_years: 5 }]</t>
  </si>
  <si>
    <t xml:space="preserve">[{ condition: 'MiFID complaints require 5-year retention; non-MiFID complaints require minimum 3 years', effect: 'firm should apply the longer of the applicable retention periods; consumer credit complaints commonly retained for 6 years to align with limitation period' }]</t>
  </si>
  <si>
    <t xml:space="preserve">UK-DISP-016</t>
  </si>
  <si>
    <t xml:space="preserve">Submit twice-yearly complaints return to the FCA</t>
  </si>
  <si>
    <t xml:space="preserve">FCA Handbook DISP 1.10.1R</t>
  </si>
  <si>
    <t xml:space="preserve">https://www.handbook.fca.org.uk/handbook/DISP/1/10.html</t>
  </si>
  <si>
    <t xml:space="preserve">{ event: 'scheduled_check', conditions: "firm.complaints_reporting_period_ended==true", exclusions: 'null' }</t>
  </si>
  <si>
    <t xml:space="preserve">{ action: 'notify_regulator', action_parameters: { channel: 'regdata', report_type: 'complaints_return', must_include: ['number_received','number_closed','number_upheld','redress_paid','complaints_by_product_category'] }, assertion: 'firm.complaints_return_submitted_at != null AND firm.complaints_return_submitted_at &lt;= deadline' }</t>
  </si>
  <si>
    <t xml:space="preserve">[{ type: 'system_record', location: 'external_system', selector: 'type==fca_complaints_return AND period==report_period', retention_years: 6 }]</t>
  </si>
  <si>
    <t xml:space="preserve">[{ condition: 'reporting periods end 30 June and 31 December; submission deadline is 30 business days after period end (DISP 1.10.5R)', effect: 'firm should align internal scheduled_check with these dates' }]</t>
  </si>
  <si>
    <t xml:space="preserve">UK-DISP-017</t>
  </si>
  <si>
    <t xml:space="preserve">Publish complaints data on firm website (DISP 1.10A)</t>
  </si>
  <si>
    <t xml:space="preserve">FCA Handbook DISP 1.10A.1R</t>
  </si>
  <si>
    <t xml:space="preserve">https://www.handbook.fca.org.uk/handbook/DISP/1/10A.html</t>
  </si>
  <si>
    <t xml:space="preserve">{ event: 'scheduled_check', conditions: "firm.complaints_publication_threshold_met==true AND (firm.complaints_received_in_period &gt;= 500 OR firm.is_required_to_publish==true)", exclusions: 'firm.complaints_received_in_period &lt; 500' }</t>
  </si>
  <si>
    <t xml:space="preserve">{ action: 'send_communication', action_parameters: { channel: 'website', content_type: 'public_complaints_data_summary', format: 'DISP_1_Annex_1B_R', must_include: ['number_of_complaints_opened','number_of_complaints_closed','percentage_closed_within_3_business_days','percentage_closed_within_8_weeks','percentage_upheld','main_product_categories'] }, assertion: 'firm.complaints_data_published_at != null AND (firm.reporting_period_end_month &lt;= 6 AND firm.complaints_data_published_at &lt;= 31_august_same_year) OR (firm.reporting_period_end_month &gt; 6 AND firm.complaints_data_published_at &lt;= 28_february_following_year)' }</t>
  </si>
  <si>
    <t xml:space="preserve">[{ type: 'document_upload', location: 'document_store', selector: 'category==public_complaints_data_summary', retention_years: 6 }]</t>
  </si>
  <si>
    <t xml:space="preserve">[{ condition: 'firm received fewer than 500 complaints in the reporting period AND firm has permissions beyond consumer credit', effect: 'publication requirement does not apply for that period under DISP 1.10A.1R(1)' }, { condition: 'consumer credit only firm received fewer than 1000 complaints in 12-month reporting period', effect: 'publication requirement does not apply under DISP 1.10A.1R(1A)' }, { condition: 'firm submits as part of a joint group report', effect: 'one of the firms publishes the joint summary; others must direct enquiries to the published summary' }]</t>
  </si>
  <si>
    <t xml:space="preserve">UK-CONC-029</t>
  </si>
  <si>
    <t xml:space="preserve">Communications and financial promotions must be clear, fair and not misleading</t>
  </si>
  <si>
    <t xml:space="preserve">FCA Handbook CONC 3.3.1R read with CONC 2.5</t>
  </si>
  <si>
    <t xml:space="preserve">https://www.handbook.fca.org.uk/handbook/CONC/3/3.html</t>
  </si>
  <si>
    <t xml:space="preserve">{ event: 'communication_sent', conditions: "communication.is_financial_promotion==true OR communication.recipient_type=='customer'", exclusions: 'null' }</t>
  </si>
  <si>
    <t xml:space="preserve">{ action: 'perform_check', action_parameters: { check_type: 'clear_fair_not_misleading_review', covers: ['clarity','fairness','accuracy','prominence_of_key_information'] }, assertion: 'communication.cfnm_review_passed == true' }</t>
  </si>
  <si>
    <t xml:space="preserve">[{ type: 'communication', location: 'communications_table', selector: 'cfnm_review_flag==true', retention_years: 6 }]</t>
  </si>
  <si>
    <t xml:space="preserve">UK-CONC-030</t>
  </si>
  <si>
    <t xml:space="preserve">Conduct business with due skill, care and diligence</t>
  </si>
  <si>
    <t xml:space="preserve">FCA Handbook CONC 2.2.1R read with PRIN 2</t>
  </si>
  <si>
    <t xml:space="preserve">https://www.handbook.fca.org.uk/handbook/CONC/2/2.html</t>
  </si>
  <si>
    <t xml:space="preserve">{ event: 'scheduled_check', conditions: "firm.conduct_review_due==true", exclusions: 'null' }</t>
  </si>
  <si>
    <t xml:space="preserve">{ action: 'document_assessment', action_parameters: { assessment_type: 'skill_care_diligence_review', covers: ['staff_training','procedures_followed','customer_interactions_recorded'] }, assertion: 'firm.skill_care_diligence_review_recorded == true' }</t>
  </si>
  <si>
    <t xml:space="preserve">[{ type: 'document_upload', location: 'document_store', selector: 'category==skill_care_diligence_review', retention_years: 6 }]</t>
  </si>
  <si>
    <t xml:space="preserve">UK-CONC-031</t>
  </si>
  <si>
    <t xml:space="preserve">Provide customer with copy of executed agreement (CONC 2.7)</t>
  </si>
  <si>
    <t xml:space="preserve">FCA Handbook CONC 2.7.2R</t>
  </si>
  <si>
    <t xml:space="preserve">https://www.handbook.fca.org.uk/handbook/CONC/2/7.html</t>
  </si>
  <si>
    <t xml:space="preserve">{ event: 'status_changed', conditions: "case.type=='credit_application' AND case.status=='agreement_executed'", exclusions: 'null' }</t>
  </si>
  <si>
    <t xml:space="preserve">{ action: 'send_communication', action_parameters: { channel: 'written', content_type: 'executed_agreement_copy', must_include: ['signed_agreement','statement_of_customer_rights'] }, assertion: 'communication.type==executed_agreement_copy AND communication.sent_at &lt;= deadline' }</t>
  </si>
  <si>
    <t xml:space="preserve">[{ type: 'communication', location: 'communications_table', selector: 'type==executed_agreement_copy', retention_years: 6 }]</t>
  </si>
  <si>
    <t xml:space="preserve">UK-CONC-032</t>
  </si>
  <si>
    <t xml:space="preserve">Honour 14-day cancellation right for distance credit contracts (CONC 11)</t>
  </si>
  <si>
    <t xml:space="preserve">FCA Handbook CONC 11.1.1R</t>
  </si>
  <si>
    <t xml:space="preserve">https://www.handbook.fca.org.uk/handbook/CONC/11/1.html</t>
  </si>
  <si>
    <t xml:space="preserve">{ event: 'communication_received', conditions: "communication.type=='distance_contract_cancellation' AND communication.received_within_14_days_of_agreement==true", exclusions: "agreement.is_excluded_distance_contract==true" }</t>
  </si>
  <si>
    <t xml:space="preserve">{ action: 'perform_check', action_parameters: { check_type: 'process_distance_cancellation', covers: ['accept_notice','treat_agreement_as_cancelled','calculate_amount_repayable'] }, assertion: 'case.distance_cancellation_processed == true' }</t>
  </si>
  <si>
    <t xml:space="preserve">[{ type: 'communication', location: 'communications_table', selector: 'type==distance_cancellation_acknowledgement', retention_years: 6 }]</t>
  </si>
  <si>
    <t xml:space="preserve">[{ condition: 'agreement is excluded under CONC 11.1.2R (e.g. land-secured credit, certain regulated mortgage contracts)', effect: 'cancellation right does not apply' }, { condition: 'overlap with s.66A CCA right of withdrawal', effect: 'customer may exercise either right; firm should process under whichever applies first' }]</t>
  </si>
  <si>
    <t xml:space="preserve">UK-CONC-033</t>
  </si>
  <si>
    <t xml:space="preserve">Treat guarantor with regard to vulnerability and financial circumstances</t>
  </si>
  <si>
    <t xml:space="preserve">FCA Handbook CONC 13.1.4R</t>
  </si>
  <si>
    <t xml:space="preserve">https://www.handbook.fca.org.uk/handbook/CONC/13/1.html</t>
  </si>
  <si>
    <t xml:space="preserve">['all','vulnerable']</t>
  </si>
  <si>
    <t xml:space="preserve">{ event: 'status_changed', conditions: "agreement.has_guarantor==true AND (case.guarantor_vulnerability_flag==true OR case.proposed_enforcement_against_guarantor==true)", exclusions: 'null' }</t>
  </si>
  <si>
    <t xml:space="preserve">{ action: 'perform_check', action_parameters: { check_type: 'guarantor_treatment_review', covers: ['vulnerability_assessment','enforcement_proportionality','communication_clarity'] }, assertion: 'case.guarantor_treatment_recorded == true' }</t>
  </si>
  <si>
    <t xml:space="preserve">[{ type: 'case_note', location: 'case_notes_table', selector: 'type==guarantor_treatment_review', retention_years: 6 }]</t>
  </si>
  <si>
    <t xml:space="preserve">UK-CONC-034</t>
  </si>
  <si>
    <t xml:space="preserve">Notify guarantor on borrower default before pursuing guarantor (CONC 13.1.6R)</t>
  </si>
  <si>
    <t xml:space="preserve">FCA Handbook CONC 13.1.6R</t>
  </si>
  <si>
    <t xml:space="preserve">{ event: 'status_changed', conditions: "agreement.has_guarantor==true AND borrower.in_default==true AND case.guarantor_not_yet_notified==true", exclusions: 'null' }</t>
  </si>
  <si>
    <t xml:space="preserve">{ action: 'send_communication', action_parameters: { channel: 'written', content_type: 'guarantor_default_notification', recipient: 'guarantor', must_include: ['nature_of_default','amount_outstanding','options_for_guarantor','signposting_to_debt_advice'] }, assertion: 'communication.type==guarantor_default_notification AND communication.recipient==guarantor AND communication.sent_before_enforcement_against_guarantor == true' }</t>
  </si>
  <si>
    <t xml:space="preserve">[{ type: 'communication', location: 'communications_table', selector: 'type==guarantor_default_notification', retention_years: 6 }]</t>
  </si>
  <si>
    <t xml:space="preserve">UK-DISP-018</t>
  </si>
  <si>
    <t xml:space="preserve">Recognise eligible complainant under FOS compulsory jurisdiction</t>
  </si>
  <si>
    <t xml:space="preserve">FCA Handbook DISP 2.7.3R</t>
  </si>
  <si>
    <t xml:space="preserve">https://www.handbook.fca.org.uk/handbook/DISP/2/7.html</t>
  </si>
  <si>
    <t xml:space="preserve">{ event: 'complaint_received', conditions: "complaint.complainant_type IN ('consumer','micro_enterprise','small_charity','small_trust') AND complaint.received_at &gt;= 2014-04-01", exclusions: "complaint.complainant_type=='large_business' OR complaint.is_outside_jurisdiction==true" }</t>
  </si>
  <si>
    <t xml:space="preserve">{ action: 'perform_check', action_parameters: { check_type: 'eligibility_assessment', covers: ['complainant_type','complaint_subject_matter','time_limits'] }, assertion: 'case.fos_eligibility_recorded == true' }</t>
  </si>
  <si>
    <t xml:space="preserve">[{ type: 'case_note', location: 'case_notes_table', selector: 'type==fos_eligibility_assessment', retention_years: 6 }]</t>
  </si>
  <si>
    <t xml:space="preserve">[{ condition: 'complainant is a large business (turnover above £6.5M or balance sheet above £5M) and does not qualify as micro-enterprise or small charity', effect: 'FOS jurisdiction does not apply; firm processes complaint internally only' }]</t>
  </si>
  <si>
    <t xml:space="preserve">UK-DISP-019</t>
  </si>
  <si>
    <t xml:space="preserve">Recognise FOS six-month referral time limit from final response (DISP 2.8.2R)</t>
  </si>
  <si>
    <t xml:space="preserve">FCA Handbook DISP 2.8.2R</t>
  </si>
  <si>
    <t xml:space="preserve">https://www.handbook.fca.org.uk/handbook/DISP/2/8.html</t>
  </si>
  <si>
    <t xml:space="preserve">{ event: 'communication_sent', conditions: "communication.type=='final_response'", exclusions: 'null' }</t>
  </si>
  <si>
    <t xml:space="preserve">{ action: 'send_communication', action_parameters: { channel: 'written', content_type: 'final_response_with_fos_time_limit', must_include: ['six_month_referral_time_limit_from_date_of_this_response','consequence_of_referring_after_six_months'] }, assertion: 'communication.type==final_response AND communication.includes_six_month_time_limit == true' }</t>
  </si>
  <si>
    <t xml:space="preserve">[{ type: 'communication', location: 'communications_table', selector: 'type==final_response AND includes_six_month_time_limit==true', retention_years: 6 }]</t>
  </si>
  <si>
    <t xml:space="preserve">UK-DISP-020</t>
  </si>
  <si>
    <t xml:space="preserve">Cooperate fully with FOS investigation and provide requested information</t>
  </si>
  <si>
    <t xml:space="preserve">FCA Handbook DISP 3.5.8R read with DISP 1.4.4R</t>
  </si>
  <si>
    <t xml:space="preserve">https://www.handbook.fca.org.uk/handbook/DISP/3/5.html</t>
  </si>
  <si>
    <t xml:space="preserve">{ event: 'communication_received', conditions: "communication.type=='fos_information_request'", exclusions: 'null' }</t>
  </si>
  <si>
    <t xml:space="preserve">{ action: 'send_communication', action_parameters: { channel: 'any', content_type: 'fos_information_response', must_include: ['requested_documents','case_notes','all_communications','position_statement'] }, assertion: 'communication.type==fos_information_response AND communication.sent_at &lt;= deadline' }</t>
  </si>
  <si>
    <t xml:space="preserve">[{ type: 'communication', location: 'communications_table', selector: 'type==fos_information_response', retention_years: 6 }]</t>
  </si>
  <si>
    <t xml:space="preserve">[{ condition: 'FOS sets a different deadline in the information request', effect: 'firm must comply with FOS-specified deadline' }]</t>
  </si>
  <si>
    <t xml:space="preserve">UK-DISP-021</t>
  </si>
  <si>
    <t xml:space="preserve">Comply with FOS determination accepted by complainant (DISP 3.6.6R)</t>
  </si>
  <si>
    <t xml:space="preserve">FCA Handbook DISP 3.6.6R</t>
  </si>
  <si>
    <t xml:space="preserve">https://www.handbook.fca.org.uk/handbook/DISP/3/6.html</t>
  </si>
  <si>
    <t xml:space="preserve">{ event: 'communication_received', conditions: "communication.type=='fos_final_decision' AND communication.complainant_accepted==true", exclusions: 'null' }</t>
  </si>
  <si>
    <t xml:space="preserve">{ action: 'perform_check', action_parameters: { check_type: 'fos_determination_compliance', covers: ['payment_of_compensation','remedial_action_taken','communication_to_complainant'] }, assertion: 'case.fos_determination_complied_with == true AND case.compliance_recorded_at != null' }</t>
  </si>
  <si>
    <t xml:space="preserve">[{ type: 'payment_record', location: 'external_system', selector: 'type==fos_award_payment', retention_years: 6 }, { type: 'case_note', location: 'case_notes_table', selector: 'type==fos_determination_compliance', retention_years: 6 }]</t>
  </si>
  <si>
    <t xml:space="preserve">[{ condition: 'complainant did not accept the FOS determination', effect: 'firm is not bound by the determination; original complaint outcome stands' }]</t>
  </si>
  <si>
    <t xml:space="preserve">UK-CD-011</t>
  </si>
  <si>
    <t xml:space="preserve">Consumer Duty overlay on creditworthiness assessment: ensure good outcomes</t>
  </si>
  <si>
    <t xml:space="preserve">FCA Handbook PRIN 2A.2.1R and PRIN 2A.3 (Products and services outcome)</t>
  </si>
  <si>
    <t xml:space="preserve">{ event: 'status_changed', conditions: "case.type=='credit_application' AND case.status=='underwriting'", exclusions: 'null' }</t>
  </si>
  <si>
    <t xml:space="preserve">{ action: 'perform_check', action_parameters: { check_type: 'consumer_duty_creditworthiness_overlay', covers: ['target_market_alignment','good_outcomes_assessment','foreseeable_harm_check'] }, assertion: 'case.consumer_duty_creditworthiness_overlay_passed == true' }</t>
  </si>
  <si>
    <t xml:space="preserve">[{ type: 'case_note', location: 'case_notes_table', selector: 'type==consumer_duty_creditworthiness_overlay', retention_years: 6 }]</t>
  </si>
  <si>
    <t xml:space="preserve">UK-CD-012</t>
  </si>
  <si>
    <t xml:space="preserve">Consumer Duty overlay on arrears handling: avoid foreseeable harm</t>
  </si>
  <si>
    <t xml:space="preserve">FCA Handbook PRIN 2A.2.8R (avoid foreseeable harm)</t>
  </si>
  <si>
    <t xml:space="preserve">{ event: 'status_changed', conditions: "case.status IN ('arrears','approaching_arrears','default')", exclusions: 'null' }</t>
  </si>
  <si>
    <t xml:space="preserve">{ action: 'perform_check', action_parameters: { check_type: 'consumer_duty_arrears_overlay', covers: ['foreseeable_harm_assessment','customer_circumstances_considered','support_offered_proportionately'] }, assertion: 'case.consumer_duty_arrears_overlay_passed == true' }</t>
  </si>
  <si>
    <t xml:space="preserve">[{ type: 'case_note', location: 'case_notes_table', selector: 'type==consumer_duty_arrears_overlay', retention_years: 6 }]</t>
  </si>
  <si>
    <t xml:space="preserve">UK-CD-013</t>
  </si>
  <si>
    <t xml:space="preserve">Consumer Duty overlay on pre-contract disclosure: enable informed decisions</t>
  </si>
  <si>
    <t xml:space="preserve">FCA Handbook PRIN 2A.5 (Consumer understanding outcome)</t>
  </si>
  <si>
    <t xml:space="preserve">{ event: 'communication_sent', conditions: "communication.type IN ('adequate_explanation','statutory_pre_contract_explanation','specified_case_disclosure')", exclusions: 'null' }</t>
  </si>
  <si>
    <t xml:space="preserve">{ action: 'perform_check', action_parameters: { check_type: 'consumer_duty_understanding_overlay', covers: ['target_market_understanding','tested_for_clarity','vulnerability_tailoring'] }, assertion: 'communication.consumer_duty_understanding_overlay_passed == true' }</t>
  </si>
  <si>
    <t xml:space="preserve">[{ type: 'communication', location: 'communications_table', selector: 'consumer_duty_understanding_review_flag==true', retention_years: 6 }]</t>
  </si>
  <si>
    <t xml:space="preserve">UK-CD-014</t>
  </si>
  <si>
    <t xml:space="preserve">Consumer Duty overlay on complaint handling: act in good faith</t>
  </si>
  <si>
    <t xml:space="preserve">FCA Handbook PRIN 2A.2.1R (good faith cross-cutting rule)</t>
  </si>
  <si>
    <t xml:space="preserve">{ event: 'complaint_received', conditions: "complaint.complainant_type IN ('consumer','vulnerable')", exclusions: 'null' }</t>
  </si>
  <si>
    <t xml:space="preserve">{ action: 'perform_check', action_parameters: { check_type: 'consumer_duty_good_faith_overlay', covers: ['no_misleading_arguments','no_undue_delay','genuine_consideration_of_complaint'] }, assertion: 'case.consumer_duty_good_faith_overlay_passed == true' }</t>
  </si>
  <si>
    <t xml:space="preserve">[{ type: 'case_note', location: 'case_notes_table', selector: 'type==consumer_duty_good_faith_overlay', retention_years: 6 }]</t>
  </si>
  <si>
    <t xml:space="preserve">UK-CD-015</t>
  </si>
  <si>
    <t xml:space="preserve">Consumer Duty overlay on persistent debt: enable repayment of financial objectives</t>
  </si>
  <si>
    <t xml:space="preserve">FCA Handbook PRIN 2A.2.14R (enable customers to pursue financial objectives)</t>
  </si>
  <si>
    <t xml:space="preserve">{ event: 'scheduled_check', conditions: "customer.persistent_debt_status==true", exclusions: 'null' }</t>
  </si>
  <si>
    <t xml:space="preserve">{ action: 'perform_check', action_parameters: { check_type: 'consumer_duty_persistent_debt_overlay', covers: ['repayment_plan_supports_financial_objectives','affordability_revisited','vulnerability_considered'] }, assertion: 'case.consumer_duty_persistent_debt_overlay_passed == true' }</t>
  </si>
  <si>
    <t xml:space="preserve">[{ type: 'case_note', location: 'case_notes_table', selector: 'type==consumer_duty_persistent_debt_overlay', retention_years: 6 }]</t>
  </si>
  <si>
    <t xml:space="preserve">UK-CD-016</t>
  </si>
  <si>
    <t xml:space="preserve">Consumer Duty overlay on price and value: ensure fair value across credit lifetime</t>
  </si>
  <si>
    <t xml:space="preserve">FCA Handbook PRIN 2A.4 (Price and value outcome)</t>
  </si>
  <si>
    <t xml:space="preserve">{ event: 'scheduled_check', conditions: "firm.fair_value_review_due==true", exclusions: 'null' }</t>
  </si>
  <si>
    <t xml:space="preserve">{ action: 'document_assessment', action_parameters: { assessment_type: 'fair_value_review', covers: ['total_cost_to_customer','benefits_to_customer','reasonable_relationship_between_cost_and_benefit'] }, assertion: 'firm.fair_value_review_recorded == true' }</t>
  </si>
  <si>
    <t xml:space="preserve">[{ type: 'document_upload', location: 'document_store', selector: 'category==fair_value_review', retention_years: 6 }]</t>
  </si>
  <si>
    <t xml:space="preserve">[{ condition: 'PRIN 2A.8.4R requires annual board assessment; 365 calendar_days reflects deterministic conversion of annual', effect: 'firm may align with financial year if documented' }]</t>
  </si>
  <si>
    <t xml:space="preserve">UK-CD-017</t>
  </si>
  <si>
    <t xml:space="preserve">Consumer Duty overlay on default notices: support customers to make informed decisions</t>
  </si>
  <si>
    <t xml:space="preserve">FCA Handbook PRIN 2A.5 read with PRIN 2A.6.2R(2)</t>
  </si>
  <si>
    <t xml:space="preserve">{ event: 'communication_sent', conditions: "communication.type IN ('default_notice','notice_of_default_sums','notice_of_sums_in_arrears')", exclusions: 'null' }</t>
  </si>
  <si>
    <t xml:space="preserve">{ action: 'perform_check', action_parameters: { check_type: 'consumer_duty_default_notice_overlay', covers: ['plain_language_used','vulnerability_tailoring','actionable_next_steps_clear'] }, assertion: 'communication.consumer_duty_default_notice_overlay_passed == true' }</t>
  </si>
  <si>
    <t xml:space="preserve">[{ type: 'communication', location: 'communications_table', selector: 'consumer_duty_default_notice_overlay_flag==true', retention_years: 6 }]</t>
  </si>
  <si>
    <t xml:space="preserve">UK-DISP-022</t>
  </si>
  <si>
    <t xml:space="preserve">Inform customers of complaint procedures and FOS at point of sale and on request</t>
  </si>
  <si>
    <t xml:space="preserve">FCA Handbook DISP 1.2.1R</t>
  </si>
  <si>
    <t xml:space="preserve">https://www.handbook.fca.org.uk/handbook/DISP/1/2.html</t>
  </si>
  <si>
    <t xml:space="preserve">{ event: 'status_changed', conditions: "case.type=='credit_application' AND case.status=='agreement_executed' OR communication.type=='complaint_procedure_request'", exclusions: 'null' }</t>
  </si>
  <si>
    <t xml:space="preserve">{ action: 'send_communication', action_parameters: { channel: 'written', content_type: 'complaint_procedure_information', must_include: ['firm_complaints_procedure_summary','right_to_refer_to_fos','firm_contact_details_for_complaints'] }, assertion: 'communication.type==complaint_procedure_information' }</t>
  </si>
  <si>
    <t xml:space="preserve">[{ type: 'communication', location: 'communications_table', selector: 'type==complaint_procedure_information', retention_years: 6 }]</t>
  </si>
  <si>
    <t xml:space="preserve">UK-CONC-035</t>
  </si>
  <si>
    <t xml:space="preserve">Provide arrears information at customer request (CONC 7.4)</t>
  </si>
  <si>
    <t xml:space="preserve">FCA Handbook CONC 7.4.1R</t>
  </si>
  <si>
    <t xml:space="preserve">https://www.handbook.fca.org.uk/handbook/CONC/7/4.html</t>
  </si>
  <si>
    <t xml:space="preserve">{ event: 'communication_received', conditions: "communication.type=='arrears_information_request' AND case.status IN ('arrears','default')", exclusions: 'null' }</t>
  </si>
  <si>
    <t xml:space="preserve">{ action: 'send_communication', action_parameters: { channel: 'written', content_type: 'arrears_status_information', must_include: ['amount_of_arrears','balance_owing','charges_applied','contact_details_for_advice'] }, assertion: 'communication.type==arrears_status_information AND communication.sent_at &lt;= deadline' }</t>
  </si>
  <si>
    <t xml:space="preserve">[{ type: 'communication', location: 'communications_table', selector: 'type==arrears_status_information', retention_years: 6 }]</t>
  </si>
  <si>
    <t xml:space="preserve">UK-CONC-036</t>
  </si>
  <si>
    <t xml:space="preserve">Apply charges and interest fairly and not as a penalty (CONC 7.7)</t>
  </si>
  <si>
    <t xml:space="preserve">FCA Handbook CONC 7.7.5R</t>
  </si>
  <si>
    <t xml:space="preserve">{ event: 'status_changed', conditions: "case.charge_or_fee_applied==true", exclusions: 'null' }</t>
  </si>
  <si>
    <t xml:space="preserve">{ action: 'perform_check', action_parameters: { check_type: 'charge_fairness_review', covers: ['charge_reflects_actual_cost','charge_not_penal','customer_has_been_informed'] }, assertion: 'case.charge_fairness_review_passed == true' }</t>
  </si>
  <si>
    <t xml:space="preserve">[{ type: 'case_note', location: 'case_notes_table', selector: 'type==charge_fairness_review', retention_years: 6 }]</t>
  </si>
  <si>
    <t xml:space="preserve">UK-CCA-020</t>
  </si>
  <si>
    <t xml:space="preserve">Provide annual statement for fixed-sum credit (section 77A)</t>
  </si>
  <si>
    <t xml:space="preserve">Consumer Credit Act 1974, section 77A (inserted by SI 2008/1597)</t>
  </si>
  <si>
    <t xml:space="preserve">https://www.legislation.gov.uk/ukpga/1974/39/section/77A</t>
  </si>
  <si>
    <t xml:space="preserve">{ event: 'scheduled_check', conditions: "agreement.type=='fixed_sum_credit' AND agreement.annual_statement_due==true", exclusions: "agreement.is_non_commercial OR agreement.is_small OR agreement.term &lt;= 12_months" }</t>
  </si>
  <si>
    <t xml:space="preserve">{ action: 'send_communication', action_parameters: { channel: 'written', content_type: 'annual_statement_fixed_sum', must_include: ['opening_balance','payments_made','interest_charged','fees_charged','closing_balance','arrears_warning_if_applicable'] }, assertion: 'communication.type==annual_statement_fixed_sum AND communication.sent_at &lt;= (agreement.last_statement_date + 1_year)' }</t>
  </si>
  <si>
    <t xml:space="preserve">[{ type: 'communication', location: 'communications_table', selector: 'type==annual_statement_fixed_sum', retention_years: 6 }]</t>
  </si>
  <si>
    <t xml:space="preserve">[{ condition: 'agreement is non-commercial or small or has term of 12 months or less', effect: 'requirement does not apply' }, { condition: 'failure to provide statement renders agreement unenforceable during period of default', effect: 'firm cannot enforce agreement until statement is provided' }]</t>
  </si>
  <si>
    <t xml:space="preserve">UK-CCA-021</t>
  </si>
  <si>
    <t xml:space="preserve">Honour statutory rebate on early settlement (Consumer Credit (Early Settlement) Regulations 2004)</t>
  </si>
  <si>
    <t xml:space="preserve">Consumer Credit (Early Settlement) Regulations 2004, SI 2004/1483, regulation 4</t>
  </si>
  <si>
    <t xml:space="preserve">https://www.legislation.gov.uk/uksi/2004/1483</t>
  </si>
  <si>
    <t xml:space="preserve">{ event: 'status_changed', conditions: "case.early_settlement_in_progress==true", exclusions: 'null' }</t>
  </si>
  <si>
    <t xml:space="preserve">{ action: 'perform_check', action_parameters: { check_type: 'early_settlement_rebate_calculation', covers: ['apply_statutory_formula_per_regulation_4','use_settlement_date_per_regulation_5_or_6','exclude_non_rebateable_items'] }, assertion: 'case.early_settlement_rebate_calculated == true AND case.rebate_formula_applied == statutory_formula' }</t>
  </si>
  <si>
    <t xml:space="preserve">[{ type: 'case_note', location: 'case_notes_table', selector: 'type==early_settlement_rebate_calculation', retention_years: 6 }, { type: 'communication', location: 'communications_table', selector: 'type==early_settlement_statement', retention_years: 6 }]</t>
  </si>
  <si>
    <t xml:space="preserve">UK-DISP-023</t>
  </si>
  <si>
    <t xml:space="preserve">Refer complaint promptly to another firm where appropriate (DISP 1.4.18R)</t>
  </si>
  <si>
    <t xml:space="preserve">FCA Handbook DISP 1.4.18R</t>
  </si>
  <si>
    <t xml:space="preserve">{ event: 'complaint_received', conditions: "case.responsibility_belongs_to_other_firm==true", exclusions: 'null' }</t>
  </si>
  <si>
    <t xml:space="preserve">{ action: 'send_communication', action_parameters: { channel: 'any', content_type: 'complaint_referral', recipient: 'other_firm', must_include: ['complaint_details','customer_details','communications_so_far'] }, assertion: 'communication.type==complaint_referral AND communication.sent_at &lt;= deadline' }</t>
  </si>
  <si>
    <t xml:space="preserve">[{ type: 'communication', location: 'communications_table', selector: 'type==complaint_referral', retention_years: 6 }]</t>
  </si>
  <si>
    <t xml:space="preserve">[{ condition: 'jointly responsible firms may agree to handle the complaint together', effect: 'firm should document the arrangement' }]</t>
  </si>
  <si>
    <t xml:space="preserve">UK-DISP-024</t>
  </si>
  <si>
    <t xml:space="preserve">Forward complaint to firm with primary responsibility (DISP 1.7.1R)</t>
  </si>
  <si>
    <t xml:space="preserve">FCA Handbook DISP 1.7.1R</t>
  </si>
  <si>
    <t xml:space="preserve">https://www.handbook.fca.org.uk/handbook/DISP/1/7.html</t>
  </si>
  <si>
    <t xml:space="preserve">{ event: 'complaint_received', conditions: "case.is_forwarded_complaint==true", exclusions: 'null' }</t>
  </si>
  <si>
    <t xml:space="preserve">{ action: 'send_communication', action_parameters: { channel: 'written', content_type: 'complaint_forwarding_acknowledgement', must_include: ['confirmation_of_receipt','identity_of_responsible_firm','expected_timescale'] }, assertion: 'communication.type==complaint_forwarding_acknowledgement AND communication.sent_at &lt;= deadline' }</t>
  </si>
  <si>
    <t xml:space="preserve">[{ type: 'communication', location: 'communications_table', selector: 'type==complaint_forwarding_acknowledgement', retention_years: 6 }]</t>
  </si>
  <si>
    <t xml:space="preserve">UK-CONC-037</t>
  </si>
  <si>
    <t xml:space="preserve">Document scope of consumer credit activities for compliance purposes (CONC 1)</t>
  </si>
  <si>
    <t xml:space="preserve">FCA Handbook CONC 1.2</t>
  </si>
  <si>
    <t xml:space="preserve">https://www.handbook.fca.org.uk/handbook/CONC/1/2.html</t>
  </si>
  <si>
    <t xml:space="preserve">{ event: 'scheduled_check', conditions: "firm.permissions_review_due==true", exclusions: 'null' }</t>
  </si>
  <si>
    <t xml:space="preserve">{ action: 'document_assessment', action_parameters: { assessment_type: 'permissions_scope_review', covers: ['credit_related_activities_in_scope','exempt_activities_identified','approved_persons_in_place'] }, assertion: 'firm.permissions_scope_review_recorded == true' }</t>
  </si>
  <si>
    <t xml:space="preserve">[{ type: 'document_upload', location: 'document_store', selector: 'category==permissions_scope_review', retention_years: 6 }]</t>
  </si>
  <si>
    <t xml:space="preserve">UK-CONC-038</t>
  </si>
  <si>
    <t xml:space="preserve">Ensure financial promotions are clear, fair and not misleading (CONC 3.3.1R)</t>
  </si>
  <si>
    <t xml:space="preserve">FCA Handbook CONC 3.3.1R</t>
  </si>
  <si>
    <t xml:space="preserve">{ event: 'communication_sent', conditions: "communication.is_financial_promotion==true", exclusions: 'null' }</t>
  </si>
  <si>
    <t xml:space="preserve">{ action: 'perform_check', action_parameters: { check_type: 'financial_promotion_review', covers: ['clear_language','fair_balance','not_misleading','risk_warnings_prominent'] }, assertion: 'communication.financial_promotion_review_passed == true' }</t>
  </si>
  <si>
    <t xml:space="preserve">[{ type: 'communication', location: 'communications_table', selector: 'financial_promotion_review_flag==true', retention_years: 6 }]</t>
  </si>
  <si>
    <t xml:space="preserve">UK-CONC-039</t>
  </si>
  <si>
    <t xml:space="preserve">Include APR in financial promotions where required (CONC 3.5)</t>
  </si>
  <si>
    <t xml:space="preserve">FCA Handbook CONC 3.5.3R</t>
  </si>
  <si>
    <t xml:space="preserve">https://www.handbook.fca.org.uk/handbook/CONC/3/5.html</t>
  </si>
  <si>
    <t xml:space="preserve">{ event: 'communication_sent', conditions: "communication.is_financial_promotion==true AND communication.includes_credit_terms==true", exclusions: 'null' }</t>
  </si>
  <si>
    <t xml:space="preserve">{ action: 'perform_check', action_parameters: { check_type: 'apr_disclosure_review', covers: ['apr_calculated_per_disclosure_regulations','representative_example_included','apr_displayed_prominently'] }, assertion: 'communication.apr_disclosure_review_passed == true' }</t>
  </si>
  <si>
    <t xml:space="preserve">[{ type: 'communication', location: 'communications_table', selector: 'apr_disclosure_flag==true', retention_years: 6 }]</t>
  </si>
  <si>
    <t xml:space="preserve">[{ condition: 'APR calculation governed by Consumer Credit (Total Charge for Credit) Regulations 1980, SI 1980/51', effect: 'firm must use the prescribed calculation method' }]</t>
  </si>
  <si>
    <t xml:space="preserve">UK-CONC-040</t>
  </si>
  <si>
    <t xml:space="preserve">Use proportionate creditworthiness assessment methods (CONC 5.2A.15R)</t>
  </si>
  <si>
    <t xml:space="preserve">FCA Handbook CONC 5.2A.15R</t>
  </si>
  <si>
    <t xml:space="preserve">{ action: 'perform_check', action_parameters: { check_type: 'creditworthiness_proportionality', covers: ['amount_of_credit','duration_of_agreement','customer_information_available','total_cost_relative_to_circumstances'] }, assertion: 'case.creditworthiness_proportionality_recorded == true' }</t>
  </si>
  <si>
    <t xml:space="preserve">[{ type: 'case_note', location: 'case_notes_table', selector: 'type==creditworthiness_proportionality', retention_years: 6 }]</t>
  </si>
  <si>
    <t xml:space="preserve">UK-CONC-041</t>
  </si>
  <si>
    <t xml:space="preserve">Provide customer with copy of credit agreement on request (CONC 6.2)</t>
  </si>
  <si>
    <t xml:space="preserve">FCA Handbook CONC 6.2.1R</t>
  </si>
  <si>
    <t xml:space="preserve">https://www.handbook.fca.org.uk/handbook/CONC/6/2.html</t>
  </si>
  <si>
    <t xml:space="preserve">{ event: 'communication_received', conditions: "communication.type=='agreement_copy_request'", exclusions: 'null' }</t>
  </si>
  <si>
    <t xml:space="preserve">{ action: 'send_communication', action_parameters: { channel: 'written', content_type: 'agreement_copy', must_include: ['executed_agreement','statement_of_account_if_requested'] }, assertion: 'communication.type==agreement_copy AND communication.sent_at &lt;= deadline' }</t>
  </si>
  <si>
    <t xml:space="preserve">[{ type: 'communication', location: 'communications_table', selector: 'type==agreement_copy', retention_years: 6 }]</t>
  </si>
  <si>
    <t xml:space="preserve">[{ condition: 'underlying statutory rights under CCA s.77/78 also apply', effect: 'firm should treat as joint request and comply with both' }]</t>
  </si>
  <si>
    <t xml:space="preserve">UK-CONC-042</t>
  </si>
  <si>
    <t xml:space="preserve">Notify customer of post-contract terms variation (CONC 6.4)</t>
  </si>
  <si>
    <t xml:space="preserve">FCA Handbook CONC 6.4.2R</t>
  </si>
  <si>
    <t xml:space="preserve">https://www.handbook.fca.org.uk/handbook/CONC/6/4.html</t>
  </si>
  <si>
    <t xml:space="preserve">{ event: 'status_changed', conditions: "agreement.terms_proposed_variation==true", exclusions: "agreement.variation_is_favourable_to_customer==true" }</t>
  </si>
  <si>
    <t xml:space="preserve">{ action: 'send_communication', action_parameters: { channel: 'written', content_type: 'agreement_variation_notice', must_include: ['nature_of_variation','effective_date','customer_options'] }, assertion: 'communication.type==agreement_variation_notice AND communication.sent_at &lt;= (variation_effective_date - 7 calendar_days)' }</t>
  </si>
  <si>
    <t xml:space="preserve">[{ type: 'communication', location: 'communications_table', selector: 'type==agreement_variation_notice', retention_years: 6 }]</t>
  </si>
  <si>
    <t xml:space="preserve">[{ condition: 'variation is solely favourable to customer (e.g. interest rate reduction)', effect: 'reduced notice obligations apply per CONC 6.4' }]</t>
  </si>
  <si>
    <t xml:space="preserve">UK-CONC-043</t>
  </si>
  <si>
    <t xml:space="preserve">Notify customer of credit limit decrease promptly (CONC 6.7.6R)</t>
  </si>
  <si>
    <t xml:space="preserve">FCA Handbook CONC 6.7.6R</t>
  </si>
  <si>
    <t xml:space="preserve">{ event: 'status_changed', conditions: "agreement.credit_limit_decrease_proposed==true", exclusions: "agreement.decrease_at_customer_request==true" }</t>
  </si>
  <si>
    <t xml:space="preserve">{ action: 'send_communication', action_parameters: { channel: 'written', content_type: 'credit_limit_decrease_notice', must_include: ['new_credit_limit','reason_if_appropriate','effective_date'] }, assertion: 'communication.type==credit_limit_decrease_notice AND communication.sent_before_effective_date == true' }</t>
  </si>
  <si>
    <t xml:space="preserve">[{ type: 'communication', location: 'communications_table', selector: 'type==credit_limit_decrease_notice', retention_years: 6 }]</t>
  </si>
  <si>
    <t xml:space="preserve">UK-CONC-044</t>
  </si>
  <si>
    <t xml:space="preserve">Monitor for signs of financial difficulty and act early (CONC 7.3.2R)</t>
  </si>
  <si>
    <t xml:space="preserve">FCA Handbook CONC 7.3.2R</t>
  </si>
  <si>
    <t xml:space="preserve">{ event: 'scheduled_check', conditions: "customer.financial_difficulty_indicator==true OR customer.repayment_pattern_deteriorating==true", exclusions: 'null' }</t>
  </si>
  <si>
    <t xml:space="preserve">{ action: 'perform_check', action_parameters: { check_type: 'financial_difficulty_assessment', covers: ['identify_risk_signs','engage_with_customer','offer_appropriate_forbearance'] }, assertion: 'case.financial_difficulty_assessment_recorded == true' }</t>
  </si>
  <si>
    <t xml:space="preserve">[{ type: 'case_note', location: 'case_notes_table', selector: 'type==financial_difficulty_assessment', retention_years: 6 }]</t>
  </si>
  <si>
    <t xml:space="preserve">UK-CONC-045</t>
  </si>
  <si>
    <t xml:space="preserve">Do not pursue debt where customer informs of inability to pay due to vulnerability</t>
  </si>
  <si>
    <t xml:space="preserve">FCA Handbook CONC 7.10.1R</t>
  </si>
  <si>
    <t xml:space="preserve">https://www.handbook.fca.org.uk/handbook/CONC/7/10.html</t>
  </si>
  <si>
    <t xml:space="preserve">{ event: 'status_changed', conditions: "customer.vulnerability_inability_to_pay_disclosed==true", exclusions: 'null' }</t>
  </si>
  <si>
    <t xml:space="preserve">{ action: 'perform_check', action_parameters: { check_type: 'vulnerability_response_assessment', covers: ['suspend_collections_activity','offer_specialist_support','signpost_to_debt_advice'] }, assertion: 'case.vulnerability_response_recorded == true AND case.collections_suspended == true' }</t>
  </si>
  <si>
    <t xml:space="preserve">[{ type: 'case_note', location: 'case_notes_table', selector: 'type==vulnerability_response_assessment', retention_years: 6 }]</t>
  </si>
  <si>
    <t xml:space="preserve">UK-CONC-046</t>
  </si>
  <si>
    <t xml:space="preserve">Do not communicate at unsociable hours or with excessive frequency (CONC 7.9)</t>
  </si>
  <si>
    <t xml:space="preserve">FCA Handbook CONC 7.9.4R</t>
  </si>
  <si>
    <t xml:space="preserve">https://www.handbook.fca.org.uk/handbook/CONC/7/9.html</t>
  </si>
  <si>
    <t xml:space="preserve">{ event: 'communication_sent', conditions: "case.status IN ('arrears','default') AND communication.recipient_type=='customer'", exclusions: 'null' }</t>
  </si>
  <si>
    <t xml:space="preserve">{ action: 'perform_check', action_parameters: { check_type: 'collections_communication_review', covers: ['no_unsociable_hours','no_excessive_frequency','customer_preferences_respected'] }, assertion: 'communication.collections_communication_review_passed == true' }</t>
  </si>
  <si>
    <t xml:space="preserve">[{ type: 'communication', location: 'communications_table', selector: 'collections_communication_review_flag==true', retention_years: 6 }]</t>
  </si>
  <si>
    <t xml:space="preserve">UK-CCA-022</t>
  </si>
  <si>
    <t xml:space="preserve">Notify customer of assignment of debt within statutory period (s.82A)</t>
  </si>
  <si>
    <t xml:space="preserve">Consumer Credit Act 1974, section 82A</t>
  </si>
  <si>
    <t xml:space="preserve">https://www.legislation.gov.uk/ukpga/1974/39/section/82A</t>
  </si>
  <si>
    <t xml:space="preserve">{ event: 'status_changed', conditions: "agreement.debt_assigned==true", exclusions: 'null' }</t>
  </si>
  <si>
    <t xml:space="preserve">{ action: 'send_communication', action_parameters: { channel: 'written', content_type: 'assignment_notification', must_include: ['identity_of_assignee','identity_of_assignor','contact_details_for_payments'] }, assertion: 'communication.type==assignment_notification AND communication.sent_at &lt;= deadline' }</t>
  </si>
  <si>
    <t xml:space="preserve">[{ type: 'communication', location: 'communications_table', selector: 'type==assignment_notification', retention_years: 6 }]</t>
  </si>
  <si>
    <t xml:space="preserve">[{ condition: 'section 82A inserted by Consumer Credit Act 2006', effect: 'applies to assignments after 1 October 2008' }]</t>
  </si>
  <si>
    <t xml:space="preserve">UK-CCA-023</t>
  </si>
  <si>
    <t xml:space="preserve">Provide post-contract information on request under CCA running-account credit</t>
  </si>
  <si>
    <t xml:space="preserve">Consumer Credit Act 1974, section 78(4)</t>
  </si>
  <si>
    <t xml:space="preserve">{ event: 'scheduled_check', conditions: "agreement.type=='running_account_credit' AND agreement.periodic_statement_due==true", exclusions: "agreement.is_non_commercial OR agreement.is_small" }</t>
  </si>
  <si>
    <t xml:space="preserve">{ action: 'send_communication', action_parameters: { channel: 'written', content_type: 'periodic_statement_running_account', must_include: ['statement_of_account','transactions_in_period','balance_owing','minimum_payment_due','arrears_information_if_applicable'] }, assertion: 'communication.type==periodic_statement_running_account AND communication.sent_at &lt;= statement_due_date' }</t>
  </si>
  <si>
    <t xml:space="preserve">[{ type: 'communication', location: 'communications_table', selector: 'type==periodic_statement_running_account', retention_years: 6 }]</t>
  </si>
  <si>
    <t xml:space="preserve">[{ condition: 'frequency governed by Consumer Credit (Running-Account Credit Information) Regulations 1983, SI 1983/1570', effect: 'firm must follow prescribed frequency, typically monthly for credit cards' }]</t>
  </si>
  <si>
    <t xml:space="preserve">UK-DISP-025</t>
  </si>
  <si>
    <t xml:space="preserve">Identify implicit complaints from customer communications (DISP 1.4.1R(1))</t>
  </si>
  <si>
    <t xml:space="preserve">FCA Handbook DISP 1.4.1R(1) and DISP 1.3.3R</t>
  </si>
  <si>
    <t xml:space="preserve">{ event: 'communication_received', conditions: "communication.recipient_type=='firm' AND communication.expresses_dissatisfaction==true", exclusions: 'null' }</t>
  </si>
  <si>
    <t xml:space="preserve">{ action: 'perform_check', action_parameters: { check_type: 'implicit_complaint_classification', covers: ['expression_of_dissatisfaction','loss_or_distress_alleged','seeking_resolution_or_redress'] }, assertion: 'case.complaint_classification_recorded == true' }</t>
  </si>
  <si>
    <t xml:space="preserve">[{ type: 'case_note', location: 'case_notes_table', selector: 'type==complaint_classification', retention_years: 6 }]</t>
  </si>
  <si>
    <t xml:space="preserve">UK-DISP-026</t>
  </si>
  <si>
    <t xml:space="preserve">Do not charge customer for complaint handling (DISP 1.4.16G)</t>
  </si>
  <si>
    <t xml:space="preserve">FCA Handbook DISP 1.4.16G</t>
  </si>
  <si>
    <t xml:space="preserve">{ event: 'complaint_received', conditions: 'true', exclusions: 'null' }</t>
  </si>
  <si>
    <t xml:space="preserve">{ action: 'perform_check', action_parameters: { check_type: 'no_complaint_charges', covers: ['no_fees_for_complaint_handling','no_fees_for_FOS_referral'] }, assertion: 'case.no_charges_applied_for_complaint == true' }</t>
  </si>
  <si>
    <t xml:space="preserve">[{ type: 'case_note', location: 'case_notes_table', selector: 'type==no_charges_applied', retention_years: 6 }]</t>
  </si>
  <si>
    <t xml:space="preserve">UK-CD-018</t>
  </si>
  <si>
    <t xml:space="preserve">Consumer Duty board-level outcomes monitoring (PRIN 2A.8.4R)</t>
  </si>
  <si>
    <t xml:space="preserve">{ event: 'scheduled_check', conditions: "firm.annual_outcomes_assessment_due==true", exclusions: 'null' }</t>
  </si>
  <si>
    <t xml:space="preserve">{ action: 'document_assessment', action_parameters: { assessment_type: 'annual_outcomes_assessment', covers: ['target_market_outcomes_data','vulnerable_customer_outcomes_data','remediation_action_taken','board_review_completed'] }, assertion: 'firm.annual_outcomes_assessment_board_reviewed == true' }</t>
  </si>
  <si>
    <t xml:space="preserve">[{ type: 'document_upload', location: 'document_store', selector: 'category==annual_outcomes_assessment', retention_years: 6 }]</t>
  </si>
  <si>
    <t xml:space="preserve">[{ condition: 'PRIN 2A.8.4R requires at least annually; 365 calendar_days reflects deterministic conversion', effect: 'firm may align with financial year if documented' }]</t>
  </si>
  <si>
    <t xml:space="preserve">UK-CD-019</t>
  </si>
  <si>
    <t xml:space="preserve">Consumer Duty overlay on price changes mid-agreement</t>
  </si>
  <si>
    <t xml:space="preserve">FCA Handbook PRIN 2A.4.2R</t>
  </si>
  <si>
    <t xml:space="preserve">{ event: 'status_changed', conditions: "agreement.proposed_price_increase==true", exclusions: 'null' }</t>
  </si>
  <si>
    <t xml:space="preserve">{ action: 'perform_check', action_parameters: { check_type: 'consumer_duty_price_change_overlay', covers: ['fair_value_preserved','customer_understanding_supported','vulnerability_considered'] }, assertion: 'case.consumer_duty_price_change_overlay_passed == true' }</t>
  </si>
  <si>
    <t xml:space="preserve">[{ type: 'case_note', location: 'case_notes_table', selector: 'type==consumer_duty_price_change_overlay', retention_years: 6 }]</t>
  </si>
  <si>
    <t xml:space="preserve">UK-CD-020</t>
  </si>
  <si>
    <t xml:space="preserve">Consumer Duty overlay on guarantor: avoid foreseeable harm to vulnerable guarantors</t>
  </si>
  <si>
    <t xml:space="preserve">FCA Handbook PRIN 2A.2.8R read with PRIN 2A.6.2R(2)</t>
  </si>
  <si>
    <t xml:space="preserve">{ event: 'status_changed', conditions: "agreement.has_guarantor==true AND guarantor.vulnerability_indicator==true", exclusions: 'null' }</t>
  </si>
  <si>
    <t xml:space="preserve">{ action: 'perform_check', action_parameters: { check_type: 'consumer_duty_guarantor_overlay', covers: ['vulnerability_tailoring','foreseeable_harm_check','support_provided'] }, assertion: 'case.consumer_duty_guarantor_overlay_passed == true' }</t>
  </si>
  <si>
    <t xml:space="preserve">[{ type: 'case_note', location: 'case_notes_table', selector: 'type==consumer_duty_guarantor_overlay', retention_years: 6 }]</t>
  </si>
  <si>
    <t xml:space="preserve">UK-CONC-047</t>
  </si>
  <si>
    <t xml:space="preserve">Provide pre-contract information document (PCCI/SECCI) (CONC 4.2.5R(3))</t>
  </si>
  <si>
    <t xml:space="preserve">FCA Handbook CONC 4.2.5R(3) read with Consumer Credit (Disclosure of Information) Regulations 2010</t>
  </si>
  <si>
    <t xml:space="preserve">{ event: 'status_changed', conditions: "case.type=='credit_application' AND case.status=='pre_contract' AND agreement.total_credit &lt;= 60260", exclusions: "agreement.is_overdraft==true OR agreement.total_credit &gt; 60260 AND agreement.is_residential_renovation==false" }</t>
  </si>
  <si>
    <t xml:space="preserve">{ action: 'send_communication', action_parameters: { channel: 'written', content_type: 'standard_european_consumer_credit_information', must_include: ['identity_of_lender','description_of_credit_product','cost_of_credit','rights_of_customer'] }, assertion: 'communication.type==standard_european_consumer_credit_information AND communication.sent_before_agreement == true' }</t>
  </si>
  <si>
    <t xml:space="preserve">[{ type: 'communication', location: 'communications_table', selector: 'type==standard_european_consumer_credit_information', retention_years: 6 }]</t>
  </si>
  <si>
    <t xml:space="preserve">[{ condition: 'Consumer Credit (Disclosure of Information) Regulations 2010, SI 2010/1013 prescribe the SECCI form', effect: 'firm must use the prescribed form' }]</t>
  </si>
  <si>
    <t xml:space="preserve">UK-CONC-048</t>
  </si>
  <si>
    <t xml:space="preserve">Conduct standards for debt collection by lender or agent (CONC 7.5)</t>
  </si>
  <si>
    <t xml:space="preserve">FCA Handbook CONC 7.5.3R</t>
  </si>
  <si>
    <t xml:space="preserve">https://www.handbook.fca.org.uk/handbook/CONC/7/5.html</t>
  </si>
  <si>
    <t xml:space="preserve">{ event: 'status_changed', conditions: "case.status IN ('arrears','default') AND firm.uses_debt_collection_agent==true", exclusions: 'null' }</t>
  </si>
  <si>
    <t xml:space="preserve">{ action: 'document_assessment', action_parameters: { assessment_type: 'debt_collection_conduct_review', covers: ['agent_authorisation_verified','agent_conduct_monitored','customer_treated_fairly'] }, assertion: 'firm.debt_collection_conduct_recorded == true' }</t>
  </si>
  <si>
    <t xml:space="preserve">[{ type: 'document_upload', location: 'document_store', selector: 'category==debt_collection_conduct_review', retention_years: 6 }]</t>
  </si>
  <si>
    <t xml:space="preserve">UK-CONC-049</t>
  </si>
  <si>
    <t xml:space="preserve">Do not pursue debts known to be statute-barred (CONC 7.15.4R)</t>
  </si>
  <si>
    <t xml:space="preserve">FCA Handbook CONC 7.15.4R</t>
  </si>
  <si>
    <t xml:space="preserve">https://www.handbook.fca.org.uk/handbook/CONC/7/15.html</t>
  </si>
  <si>
    <t xml:space="preserve">{ event: 'status_changed', conditions: "agreement.last_payment_or_acknowledgement_date != null AND (today - agreement.last_payment_or_acknowledgement_date) &gt; 6_years AND agreement.no_court_judgment==true", exclusions: 'null' }</t>
  </si>
  <si>
    <t xml:space="preserve">{ action: 'perform_check', action_parameters: { check_type: 'statute_barred_check', covers: ['limitation_period_calculation','no_pursuit_action','customer_notified_of_statute_barred_status_if_appropriate'] }, assertion: 'case.statute_barred_check_passed == true' }</t>
  </si>
  <si>
    <t xml:space="preserve">[{ type: 'case_note', location: 'case_notes_table', selector: 'type==statute_barred_check', retention_years: 6 }]</t>
  </si>
  <si>
    <t xml:space="preserve">[{ condition: 'limitation period under Limitation Act 1980 is 6 years for simple contract debts and 12 years for deed-based debts in England and Wales; 5 years in Scotland', effect: 'firm must apply correct limitation period for jurisdiction' }]</t>
  </si>
  <si>
    <t xml:space="preserve">UK-CONC-050</t>
  </si>
  <si>
    <t xml:space="preserve">Document policies for treating customers in default (CONC 7.2.1R)</t>
  </si>
  <si>
    <t xml:space="preserve">FCA Handbook CONC 7.2.1R</t>
  </si>
  <si>
    <t xml:space="preserve">https://www.handbook.fca.org.uk/handbook/CONC/7/2.html</t>
  </si>
  <si>
    <t xml:space="preserve">{ event: 'scheduled_check', conditions: "firm.collections_policy_review_due==true", exclusions: 'null' }</t>
  </si>
  <si>
    <t xml:space="preserve">{ action: 'document_assessment', action_parameters: { assessment_type: 'collections_policy_review', covers: ['policy_documented','staff_trained','customer_treatment_principles','escalation_protocols'] }, assertion: 'firm.collections_policy_review_recorded == true' }</t>
  </si>
  <si>
    <t xml:space="preserve">[{ type: 'document_upload', location: 'document_store', selector: 'category==collections_policy_review', retention_years: 6 }]</t>
  </si>
  <si>
    <t xml:space="preserve">UK-CCA-024</t>
  </si>
  <si>
    <t xml:space="preserve">Display APR prominently in agreement (CCA s.20 and SI 1980/51)</t>
  </si>
  <si>
    <t xml:space="preserve">Consumer Credit Act 1974, section 20 read with Consumer Credit (Total Charge for Credit) Regulations 1980, SI 1980/51</t>
  </si>
  <si>
    <t xml:space="preserve">https://www.legislation.gov.uk/ukpga/1974/39/section/20</t>
  </si>
  <si>
    <t xml:space="preserve">{ action: 'perform_check', action_parameters: { check_type: 'apr_display_review', covers: ['apr_calculated_per_SI_1980_51','apr_displayed_in_agreement','apr_matches_pre_contract_disclosure'] }, assertion: 'agreement.apr_display_review_passed == true' }</t>
  </si>
  <si>
    <t xml:space="preserve">[{ type: 'document_upload', location: 'document_store', selector: 'category==credit_agreement AND contains_apr==true', retention_years: 6 }]</t>
  </si>
  <si>
    <t xml:space="preserve">UK-CCA-025</t>
  </si>
  <si>
    <t xml:space="preserve">Issue Notice of Default Sums minimum form requirements (s.86E read with SI 2007/1167)</t>
  </si>
  <si>
    <t xml:space="preserve">Consumer Credit Act 1974, section 86E read with Consumer Credit (Information Requirements and Duration of Licences and Charges) Regulations 2007, SI 2007/1167</t>
  </si>
  <si>
    <t xml:space="preserve">https://www.legislation.gov.uk/uksi/2007/1167</t>
  </si>
  <si>
    <t xml:space="preserve">{ event: 'status_changed', conditions: "default_sum.becomes_payable==true", exclusions: "agreement.is_non_commercial OR agreement.is_small" }</t>
  </si>
  <si>
    <t xml:space="preserve">{ action: 'send_communication', action_parameters: { channel: 'written', content_type: 'notice_of_default_sums_detailed', must_include: ['date_default_sum_payable','description_of_default_sum','amount_of_default_sum','reason_for_default_sum'] }, assertion: 'communication.type==notice_of_default_sums_detailed AND communication.complies_with_SI_2007_1167 == true' }</t>
  </si>
  <si>
    <t xml:space="preserve">[{ type: 'communication', location: 'communications_table', selector: 'type==notice_of_default_sums_detailed', retention_years: 6 }]</t>
  </si>
  <si>
    <t xml:space="preserve">UK-CONC-051</t>
  </si>
  <si>
    <t xml:space="preserve">Maintain general business records (CONC 1.2 and SYSC 9.1.1R)</t>
  </si>
  <si>
    <t xml:space="preserve">FCA Handbook CONC 1.2.1G read with SYSC 9.1.1R</t>
  </si>
  <si>
    <t xml:space="preserve">https://www.handbook.fca.org.uk/handbook/SYSC/9/1.html</t>
  </si>
  <si>
    <t xml:space="preserve">{ event: 'scheduled_check', conditions: "firm.records_retention_review_due==true", exclusions: 'null' }</t>
  </si>
  <si>
    <t xml:space="preserve">{ action: 'document_assessment', action_parameters: { assessment_type: 'records_retention_compliance', covers: ['records_kept_for_minimum_period','records_accessible','records_orderly'] }, assertion: 'firm.records_retention_compliance_recorded == true' }</t>
  </si>
  <si>
    <t xml:space="preserve">[{ type: 'document_upload', location: 'document_store', selector: 'category==records_retention_review', retention_years: 6 }]</t>
  </si>
  <si>
    <t xml:space="preserve">UK-CONC-052</t>
  </si>
  <si>
    <t xml:space="preserve">Distance marketing of credit (CONC 2.6) right to cancel</t>
  </si>
  <si>
    <t xml:space="preserve">FCA Handbook CONC 2.6.4R read with CONC 11</t>
  </si>
  <si>
    <t xml:space="preserve">https://www.handbook.fca.org.uk/handbook/CONC/2/6.html</t>
  </si>
  <si>
    <t xml:space="preserve">{ event: 'status_changed', conditions: "case.type=='credit_application' AND case.is_distance_contract==true AND case.status=='pre_contract'", exclusions: 'null' }</t>
  </si>
  <si>
    <t xml:space="preserve">{ action: 'send_communication', action_parameters: { channel: 'written', content_type: 'distance_marketing_information', must_include: ['identity_of_firm','main_characteristics_of_service','price_details','cancellation_rights'] }, assertion: 'communication.type==distance_marketing_information AND communication.sent_before_agreement == true' }</t>
  </si>
  <si>
    <t xml:space="preserve">[{ type: 'communication', location: 'communications_table', selector: 'type==distance_marketing_information', retention_years: 6 }]</t>
  </si>
  <si>
    <t xml:space="preserve">[{ condition: 'Financial Services (Distance Marketing) Regulations 2004, SI 2004/2095 also apply', effect: 'firm should comply with both DMA Regulations and CONC 2.6' }]</t>
  </si>
  <si>
    <t xml:space="preserve">UK-CONC-053</t>
  </si>
  <si>
    <t xml:space="preserve">Vulnerability identification and recording (CONC 2.10)</t>
  </si>
  <si>
    <t xml:space="preserve">FCA Handbook CONC 2.10.1R read with FG21/1</t>
  </si>
  <si>
    <t xml:space="preserve">https://www.handbook.fca.org.uk/handbook/CONC/2/10.html</t>
  </si>
  <si>
    <t xml:space="preserve">{ event: 'communication_received', conditions: "customer.potential_vulnerability_indicator==true", exclusions: 'null' }</t>
  </si>
  <si>
    <t xml:space="preserve">{ action: 'perform_check', action_parameters: { check_type: 'vulnerability_identification', covers: ['indicator_assessment','recording_appropriately','tailored_treatment_applied'] }, assertion: 'case.vulnerability_assessment_recorded == true' }</t>
  </si>
  <si>
    <t xml:space="preserve">[{ type: 'case_note', location: 'case_notes_table', selector: 'type==vulnerability_assessment', retention_years: 6 }]</t>
  </si>
  <si>
    <t xml:space="preserve">[{ condition: 'FCA Finalised Guidance FG21/1 on vulnerable customers provides expectations', effect: 'firm should evidence alignment with FG21/1 four-driver model' }]</t>
  </si>
  <si>
    <t xml:space="preserve">UK-CONC-054</t>
  </si>
  <si>
    <t xml:space="preserve">Comply with UK GDPR when processing customer credit data</t>
  </si>
  <si>
    <t xml:space="preserve">UK GDPR Article 6 (lawful basis) read with FCA Handbook CONC 2.8</t>
  </si>
  <si>
    <t xml:space="preserve">https://www.legislation.gov.uk/eur/2016/679</t>
  </si>
  <si>
    <t xml:space="preserve">{ event: 'communication_sent', conditions: "communication.contains_personal_data==true OR case.personal_data_processed==true", exclusions: 'null' }</t>
  </si>
  <si>
    <t xml:space="preserve">{ action: 'perform_check', action_parameters: { check_type: 'data_protection_compliance', covers: ['lawful_basis_recorded','data_minimisation','retention_limits','subject_rights_respected'] }, assertion: 'case.data_protection_compliance_recorded == true' }</t>
  </si>
  <si>
    <t xml:space="preserve">[{ type: 'case_note', location: 'case_notes_table', selector: 'type==data_protection_compliance', retention_years: 6 }]</t>
  </si>
  <si>
    <t xml:space="preserve">[{ condition: 'ICO has separate jurisdiction; DPA 2018 also applies', effect: 'firm must comply with both UK GDPR and DPA 2018; ICO enforcement is parallel' }]</t>
  </si>
  <si>
    <t xml:space="preserve">UK-CCA-026</t>
  </si>
  <si>
    <t xml:space="preserve">Provide settlement statement on request for running-account credit (s.97 read with running-account)</t>
  </si>
  <si>
    <t xml:space="preserve">Consumer Credit Act 1974, section 97 read with Consumer Credit (Settlement Information) Regulations 1983, SI 1983/1564</t>
  </si>
  <si>
    <t xml:space="preserve">{ event: 'communication_received', conditions: "communication.type=='settlement_information_request' AND agreement.type=='running_account_credit'", exclusions: 'null' }</t>
  </si>
  <si>
    <t xml:space="preserve">{ action: 'send_communication', action_parameters: { channel: 'written', content_type: 'running_account_settlement_statement', must_include: ['settlement_amount','calculation_basis','statement_date'] }, assertion: 'communication.type==running_account_settlement_statement AND communication.sent_at &lt;= deadline' }</t>
  </si>
  <si>
    <t xml:space="preserve">[{ type: 'communication', location: 'communications_table', selector: 'type==running_account_settlement_statement', retention_years: 6 }]</t>
  </si>
  <si>
    <t xml:space="preserve">[{ condition: 'SI 1983/1564 prescribed period was 12 working days; post-2010 amendments reduced this in some cases', effect: 'verify current prescribed period at decomposition time' }]</t>
  </si>
  <si>
    <t xml:space="preserve">UK-CCA-027</t>
  </si>
  <si>
    <t xml:space="preserve">Honour customer right to withdraw consent for direct marketing</t>
  </si>
  <si>
    <t xml:space="preserve">Consumer Credit Act 1974, section 157 (credit reference agencies and direct marketing)</t>
  </si>
  <si>
    <t xml:space="preserve">https://www.legislation.gov.uk/ukpga/1974/39/section/157</t>
  </si>
  <si>
    <t xml:space="preserve">{ event: 'communication_received', conditions: "communication.type=='marketing_consent_withdrawal'", exclusions: 'null' }</t>
  </si>
  <si>
    <t xml:space="preserve">{ action: 'perform_check', action_parameters: { check_type: 'marketing_consent_revocation', covers: ['stop_direct_marketing','update_consent_records','confirm_to_customer'] }, assertion: 'case.marketing_consent_revoked == true AND case.confirmation_sent == true' }</t>
  </si>
  <si>
    <t xml:space="preserve">[{ type: 'system_record', location: 'external_system', selector: 'type==marketing_consent_status', retention_years: 6 }, { type: 'communication', location: 'communications_table', selector: 'type==marketing_consent_revocation_confirmation', retention_years: 6 }]</t>
  </si>
  <si>
    <t xml:space="preserve">[{ condition: 'overlap with UK GDPR right to object to direct marketing under Article 21', effect: 'firm must respect the right under whichever regime is more protective' }]</t>
  </si>
  <si>
    <t xml:space="preserve">UK-CONC-055</t>
  </si>
  <si>
    <t xml:space="preserve">Risk warnings on high-cost short-term credit promotions (CONC 3.4)</t>
  </si>
  <si>
    <t xml:space="preserve">FCA Handbook CONC 3.4.1R</t>
  </si>
  <si>
    <t xml:space="preserve">https://www.handbook.fca.org.uk/handbook/CONC/3/4.html</t>
  </si>
  <si>
    <t xml:space="preserve">{ event: 'communication_sent', conditions: "communication.is_financial_promotion==true AND product.is_high_cost_short_term_credit==true", exclusions: 'null' }</t>
  </si>
  <si>
    <t xml:space="preserve">{ action: 'perform_check', action_parameters: { check_type: 'hcstc_risk_warning_review', covers: ['risk_warning_text_present','warning_displayed_prominently','warning_complies_with_CONC_3_4_1R_format'] }, assertion: 'communication.hcstc_risk_warning_review_passed == true' }</t>
  </si>
  <si>
    <t xml:space="preserve">[{ type: 'communication', location: 'communications_table', selector: 'hcstc_risk_warning_flag==true', retention_years: 6 }]</t>
  </si>
  <si>
    <t xml:space="preserve">UK-CONC-056</t>
  </si>
  <si>
    <t xml:space="preserve">Treat creditworthiness information confidentially (CONC 5.2A.30R)</t>
  </si>
  <si>
    <t xml:space="preserve">FCA Handbook CONC 5.2A.30R</t>
  </si>
  <si>
    <t xml:space="preserve">{ event: 'communication_sent', conditions: "case.creditworthiness_data_shared==true", exclusions: 'null' }</t>
  </si>
  <si>
    <t xml:space="preserve">{ action: 'perform_check', action_parameters: { check_type: 'creditworthiness_confidentiality_review', covers: ['data_shared_only_with_authorised_recipients','customer_consent_recorded_where_required','data_protection_safeguards_applied'] }, assertion: 'case.creditworthiness_confidentiality_review_passed == true' }</t>
  </si>
  <si>
    <t xml:space="preserve">[{ type: 'case_note', location: 'case_notes_table', selector: 'type==creditworthiness_confidentiality_review', retention_years: 6 }]</t>
  </si>
  <si>
    <t xml:space="preserve">UK-DISP-027</t>
  </si>
  <si>
    <t xml:space="preserve">Maintain awareness of FOS award limit (DISP 3.7.4R)</t>
  </si>
  <si>
    <t xml:space="preserve">FCA Handbook DISP 3.7.4R</t>
  </si>
  <si>
    <t xml:space="preserve">https://www.handbook.fca.org.uk/handbook/DISP/3/7.html</t>
  </si>
  <si>
    <t xml:space="preserve">{ event: 'communication_received', conditions: "communication.type=='fos_final_decision' AND communication.award_amount &gt; 0", exclusions: 'null' }</t>
  </si>
  <si>
    <t xml:space="preserve">{ action: 'perform_check', action_parameters: { check_type: 'fos_award_compliance_review', covers: ['award_within_fos_jurisdiction_limit','interest_calculation_per_DISP_3_7_4_R','payment_within_specified_period'] }, assertion: 'case.fos_award_compliance_recorded == true' }</t>
  </si>
  <si>
    <t xml:space="preserve">[{ type: 'case_note', location: 'case_notes_table', selector: 'type==fos_award_compliance', retention_years: 6 }]</t>
  </si>
  <si>
    <t xml:space="preserve">[{ condition: 'FOS award limit is £415,000 for complaints referred on or after 1 April 2024 (DISP 3.7.4R)', effect: 'firm must verify the correct limit applicable to the referral date' }]</t>
  </si>
  <si>
    <t xml:space="preserve">UK-DISP-028</t>
  </si>
  <si>
    <t xml:space="preserve">Notify FCA of complaint trends suggesting systemic issues (DISP 1.3.6R)</t>
  </si>
  <si>
    <t xml:space="preserve">FCA Handbook DISP 1.3.6R read with PRIN 11</t>
  </si>
  <si>
    <t xml:space="preserve">{ event: 'scheduled_check', conditions: "firm.systemic_issue_identified==true", exclusions: 'null' }</t>
  </si>
  <si>
    <t xml:space="preserve">{ action: 'notify_regulator', action_parameters: { channel: 'sup_15_3', report_type: 'systemic_issue_notification', must_include: ['nature_of_issue','number_of_customers_affected','proposed_remediation','timeline'] }, assertion: 'firm.systemic_issue_notification_sent == true' }</t>
  </si>
  <si>
    <t xml:space="preserve">[{ type: 'communication', location: 'communications_table', selector: 'type==systemic_issue_notification', retention_years: 6 }]</t>
  </si>
  <si>
    <t xml:space="preserve">[{ condition: 'Principle 11 (relations with regulators) requires open and cooperative dealing', effect: 'firm should err on the side of notifying' }]</t>
  </si>
  <si>
    <t xml:space="preserve">UK-CONC-057</t>
  </si>
  <si>
    <t xml:space="preserve">Apply forbearance to vulnerable customers (CONC 7.3.4R read with FG21/1)</t>
  </si>
  <si>
    <t xml:space="preserve">FCA Handbook CONC 7.3.4R read with FG21/1</t>
  </si>
  <si>
    <t xml:space="preserve">{ event: 'status_changed', conditions: "case.status IN ('arrears','default') AND customer.vulnerability_indicator==true", exclusions: 'null' }</t>
  </si>
  <si>
    <t xml:space="preserve">{ action: 'perform_check', action_parameters: { check_type: 'vulnerability_forbearance_review', covers: ['tailored_forbearance_options','additional_time_offered','specialist_support_offered','vulnerability_acknowledgment_recorded'] }, assertion: 'case.vulnerability_forbearance_review_recorded == true' }</t>
  </si>
  <si>
    <t xml:space="preserve">[{ type: 'case_note', location: 'case_notes_table', selector: 'type==vulnerability_forbearance_review', retention_years: 6 }]</t>
  </si>
  <si>
    <t xml:space="preserve">UK-CONC-058</t>
  </si>
  <si>
    <t xml:space="preserve">Suspend interest and charges where customer cannot pay due to circumstances (CONC 7.3.5G)</t>
  </si>
  <si>
    <t xml:space="preserve">FCA Handbook CONC 7.3.5G</t>
  </si>
  <si>
    <t xml:space="preserve">{ event: 'status_changed', conditions: "case.customer_cannot_pay_due_to_circumstances==true AND case.financial_difficulty_demonstrated==true", exclusions: 'null' }</t>
  </si>
  <si>
    <t xml:space="preserve">{ action: 'perform_check', action_parameters: { check_type: 'interest_suspension_assessment', covers: ['eligibility_for_suspension','duration_of_suspension','reinstatement_conditions'] }, assertion: 'case.interest_suspension_decision_recorded == true' }</t>
  </si>
  <si>
    <t xml:space="preserve">[{ type: 'case_note', location: 'case_notes_table', selector: 'type==interest_suspension_assessment', retention_years: 6 }]</t>
  </si>
  <si>
    <t xml:space="preserve">UK-CONC-059</t>
  </si>
  <si>
    <t xml:space="preserve">Provide annual review of customer in long-term arrangement (CONC 7.3.13G)</t>
  </si>
  <si>
    <t xml:space="preserve">FCA Handbook CONC 7.3.13G</t>
  </si>
  <si>
    <t xml:space="preserve">{ event: 'scheduled_check', conditions: "case.in_long_term_arrangement==true AND case.annual_review_due==true", exclusions: 'null' }</t>
  </si>
  <si>
    <t xml:space="preserve">{ action: 'perform_check', action_parameters: { check_type: 'long_term_arrangement_review', covers: ['affordability_reassessed','sustainability_of_arrangement_assessed','customer_circumstances_updated'] }, assertion: 'case.long_term_arrangement_review_recorded == true' }</t>
  </si>
  <si>
    <t xml:space="preserve">[{ type: 'case_note', location: 'case_notes_table', selector: 'type==long_term_arrangement_review', retention_years: 6 }]</t>
  </si>
  <si>
    <t xml:space="preserve">UK-CONC-060</t>
  </si>
  <si>
    <t xml:space="preserve">Quarterly statement for fixed-sum credit running over 12 months (CONC 6.7.7R)</t>
  </si>
  <si>
    <t xml:space="preserve">FCA Handbook CONC 6.7.7R read with CCA s.77A</t>
  </si>
  <si>
    <t xml:space="preserve">{ event: 'scheduled_check', conditions: "agreement.type=='fixed_sum_credit' AND agreement.term &gt; 12_months AND agreement.quarterly_statement_due==true", exclusions: 'null' }</t>
  </si>
  <si>
    <t xml:space="preserve">{ action: 'send_communication', action_parameters: { channel: 'written', content_type: 'quarterly_statement_fixed_sum', must_include: ['balance','payments_received','interest_applied','arrears_information'] }, assertion: 'communication.type==quarterly_statement_fixed_sum AND communication.sent_at &lt;= statement_due_date' }</t>
  </si>
  <si>
    <t xml:space="preserve">[{ type: 'communication', location: 'communications_table', selector: 'type==quarterly_statement_fixed_sum', retention_years: 6 }]</t>
  </si>
  <si>
    <t xml:space="preserve">UK-CONC-061</t>
  </si>
  <si>
    <t xml:space="preserve">Provide adequate explanation of total cost of credit (CONC 4.2.5R(2)(c))</t>
  </si>
  <si>
    <t xml:space="preserve">FCA Handbook CONC 4.2.5R(2)(c)</t>
  </si>
  <si>
    <t xml:space="preserve">{ action: 'send_communication', action_parameters: { channel: 'any', content_type: 'total_cost_explanation', must_include: ['amount_payable_per_period','total_amount_payable','breakdown_of_interest_and_fees'] }, assertion: 'communication.type==total_cost_explanation AND communication.sent_before_agreement == true' }</t>
  </si>
  <si>
    <t xml:space="preserve">[{ type: 'communication', location: 'communications_table', selector: 'type==total_cost_explanation', retention_years: 6 }]</t>
  </si>
  <si>
    <t xml:space="preserve">UK-CONC-062</t>
  </si>
  <si>
    <t xml:space="preserve">Provide adequate explanation of consequences of missed payments (CONC 4.2.5R(2)(e))</t>
  </si>
  <si>
    <t xml:space="preserve">FCA Handbook CONC 4.2.5R(2)(e)</t>
  </si>
  <si>
    <t xml:space="preserve">{ action: 'send_communication', action_parameters: { channel: 'any', content_type: 'missed_payment_consequences_explanation', must_include: ['legal_proceedings_risk','default_charges','impact_on_credit_file','repossession_warning_where_applicable'] }, assertion: 'communication.type==missed_payment_consequences_explanation AND communication.sent_before_agreement == true' }</t>
  </si>
  <si>
    <t xml:space="preserve">[{ type: 'communication', location: 'communications_table', selector: 'type==missed_payment_consequences_explanation', retention_years: 6 }]</t>
  </si>
  <si>
    <t xml:space="preserve">UK-DISP-029</t>
  </si>
  <si>
    <t xml:space="preserve">Apply DISP rules to former customers (DISP 1.1.10R)</t>
  </si>
  <si>
    <t xml:space="preserve">FCA Handbook DISP 1.1.10R</t>
  </si>
  <si>
    <t xml:space="preserve">https://www.handbook.fca.org.uk/handbook/DISP/1/1.html</t>
  </si>
  <si>
    <t xml:space="preserve">{ event: 'complaint_received', conditions: "complaint.complainant_type=='former_customer'", exclusions: 'null' }</t>
  </si>
  <si>
    <t xml:space="preserve">{ action: 'perform_check', action_parameters: { check_type: 'former_customer_complaint_eligibility', covers: ['complaint_within_six_years_of_event','complaint_within_three_years_of_awareness','complainant_was_eligible_at_time_of_event'] }, assertion: 'case.former_customer_eligibility_recorded == true' }</t>
  </si>
  <si>
    <t xml:space="preserve">[{ type: 'case_note', location: 'case_notes_table', selector: 'type==former_customer_eligibility', retention_years: 6 }]</t>
  </si>
  <si>
    <t xml:space="preserve">[{ condition: 'time bar under DISP 2.8.2R: 6 years from event or 3 years from awareness', effect: 'firm should apply correct time bar before processing complaint' }]</t>
  </si>
  <si>
    <t xml:space="preserve">UK-DISP-030</t>
  </si>
  <si>
    <t xml:space="preserve">Maintain confidentiality of complaint information (DISP 1.4.20G)</t>
  </si>
  <si>
    <t xml:space="preserve">FCA Handbook DISP 1.4.20G</t>
  </si>
  <si>
    <t xml:space="preserve">{ event: 'communication_sent', conditions: "case.type=='complaint' AND communication.contains_personal_data==true", exclusions: 'null' }</t>
  </si>
  <si>
    <t xml:space="preserve">{ action: 'perform_check', action_parameters: { check_type: 'complaint_confidentiality_review', covers: ['data_shared_only_with_authorised_persons','data_minimisation_applied','customer_consent_obtained_where_required'] }, assertion: 'communication.complaint_confidentiality_review_passed == true' }</t>
  </si>
  <si>
    <t xml:space="preserve">[{ type: 'case_note', location: 'case_notes_table', selector: 'type==complaint_confidentiality_review', retention_years: 6 }]</t>
  </si>
  <si>
    <t xml:space="preserve">UK-CCA-028</t>
  </si>
  <si>
    <t xml:space="preserve">Disclose any security taken under the agreement (CCA s.105 and Form Regulations)</t>
  </si>
  <si>
    <t xml:space="preserve">Consumer Credit Act 1974, section 105 read with Consumer Credit (Guarantees and Indemnities) Regulations 1983</t>
  </si>
  <si>
    <t xml:space="preserve">https://www.legislation.gov.uk/ukpga/1974/39/section/105</t>
  </si>
  <si>
    <t xml:space="preserve">{ event: 'status_changed', conditions: "agreement.has_security==true AND case.status=='agreement_executed'", exclusions: 'null' }</t>
  </si>
  <si>
    <t xml:space="preserve">{ action: 'send_communication', action_parameters: { channel: 'written', content_type: 'security_information', must_include: ['nature_of_security','obligations_under_security','effects_of_default','rights_to_terminate'] }, assertion: 'communication.type==security_information AND communication.sent_at &lt;= deadline' }</t>
  </si>
  <si>
    <t xml:space="preserve">[{ type: 'communication', location: 'communications_table', selector: 'type==security_information', retention_years: 6 }]</t>
  </si>
  <si>
    <t xml:space="preserve">[{ condition: 'CCA s.105(7) sets out prescribed form requirements', effect: 'firm must use prescribed form' }]</t>
  </si>
  <si>
    <t xml:space="preserve">UK-CCA-029</t>
  </si>
  <si>
    <t xml:space="preserve">Notify guarantor of changes to underlying agreement (CCA s.111)</t>
  </si>
  <si>
    <t xml:space="preserve">Consumer Credit Act 1974, section 111</t>
  </si>
  <si>
    <t xml:space="preserve">https://www.legislation.gov.uk/ukpga/1974/39/section/111</t>
  </si>
  <si>
    <t xml:space="preserve">{ event: 'status_changed', conditions: "agreement.has_guarantor==true AND agreement.terms_changed==true", exclusions: 'null' }</t>
  </si>
  <si>
    <t xml:space="preserve">{ action: 'send_communication', action_parameters: { channel: 'written', content_type: 'guarantor_variation_notice', recipient: 'guarantor', must_include: ['nature_of_change','effect_on_guarantor_obligations','guarantor_options'] }, assertion: 'communication.type==guarantor_variation_notice AND communication.recipient==guarantor' }</t>
  </si>
  <si>
    <t xml:space="preserve">[{ type: 'communication', location: 'communications_table', selector: 'type==guarantor_variation_notice', retention_years: 6 }]</t>
  </si>
  <si>
    <t xml:space="preserve">UK-CCA-030</t>
  </si>
  <si>
    <t xml:space="preserve">Honour customer right to inspect own records (CCA s.158 and DPA 2018)</t>
  </si>
  <si>
    <t xml:space="preserve">Consumer Credit Act 1974, section 158 read with Data Protection Act 2018</t>
  </si>
  <si>
    <t xml:space="preserve">https://www.legislation.gov.uk/ukpga/1974/39/section/158</t>
  </si>
  <si>
    <t xml:space="preserve">{ event: 'communication_received', conditions: "communication.type=='customer_record_inspection_request' OR communication.type=='subject_access_request'", exclusions: 'null' }</t>
  </si>
  <si>
    <t xml:space="preserve">{ action: 'send_communication', action_parameters: { channel: 'written', content_type: 'customer_record_response', must_include: ['copy_of_personal_data','sources_of_data','recipients_of_data','retention_period'] }, assertion: 'communication.type==customer_record_response AND communication.sent_at &lt;= deadline' }</t>
  </si>
  <si>
    <t xml:space="preserve">[{ type: 'communication', location: 'communications_table', selector: 'type==customer_record_response', retention_years: 6 }]</t>
  </si>
  <si>
    <t xml:space="preserve">[{ condition: 'UK GDPR Article 12(3) prescribes 1 month deadline; DPA 2018 supplements; firm should apply 30 calendar_days conservatively', effect: 'parallel ICO jurisdiction applies' }]</t>
  </si>
  <si>
    <t xml:space="preserve">UK-CONC-063</t>
  </si>
  <si>
    <t xml:space="preserve">Use multiple sources of information for creditworthiness assessment (CONC 5.2A.20R)</t>
  </si>
  <si>
    <t xml:space="preserve">FCA Handbook CONC 5.2A.20R</t>
  </si>
  <si>
    <t xml:space="preserve">{ action: 'perform_check', action_parameters: { check_type: 'creditworthiness_information_sources', covers: ['credit_reference_check_performed','income_verification_attempted','existing_commitments_considered','customer_declared_information_assessed'] }, assertion: 'case.creditworthiness_information_sources_documented == true' }</t>
  </si>
  <si>
    <t xml:space="preserve">[{ type: 'case_note', location: 'case_notes_table', selector: 'type==creditworthiness_information_sources', retention_years: 6 }]</t>
  </si>
  <si>
    <t xml:space="preserve">UK-CONC-064</t>
  </si>
  <si>
    <t xml:space="preserve">Reassess affordability before significant top-up or refinancing (CONC 5.2A.26R)</t>
  </si>
  <si>
    <t xml:space="preserve">FCA Handbook CONC 5.2A.26R</t>
  </si>
  <si>
    <t xml:space="preserve">['loan','bnpl']</t>
  </si>
  <si>
    <t xml:space="preserve">{ event: 'status_changed', conditions: "case.type IN ('top_up_application','refinance_application') AND agreement.material_change_proposed==true", exclusions: 'null' }</t>
  </si>
  <si>
    <t xml:space="preserve">{ action: 'perform_check', action_parameters: { check_type: 'refinance_affordability_reassessment', covers: ['updated_income_check','updated_expenditure_check','sustainability_assessment','customer_circumstances_reviewed'] }, assertion: 'case.refinance_affordability_reassessment_recorded == true' }</t>
  </si>
  <si>
    <t xml:space="preserve">[{ type: 'case_note', location: 'case_notes_table', selector: 'type==refinance_affordability_reassessment', retention_years: 6 }]</t>
  </si>
  <si>
    <t xml:space="preserve">UK-DISP-031</t>
  </si>
  <si>
    <t xml:space="preserve">Treat all complainants fairly regardless of channel (DISP 1.1)</t>
  </si>
  <si>
    <t xml:space="preserve">FCA Handbook DISP 1.1.3R read with PRIN 6</t>
  </si>
  <si>
    <t xml:space="preserve">{ action: 'perform_check', action_parameters: { check_type: 'fair_treatment_complaint_review', covers: ['channel_neutral_treatment','no_discrimination','customer_interests_prioritised'] }, assertion: 'case.fair_treatment_review_passed == true' }</t>
  </si>
  <si>
    <t xml:space="preserve">[{ type: 'case_note', location: 'case_notes_table', selector: 'type==fair_treatment_review', retention_years: 6 }]</t>
  </si>
  <si>
    <t xml:space="preserve">UK-CD-021</t>
  </si>
  <si>
    <t xml:space="preserve">Consumer Duty overlay on financial promotions: consumer understanding</t>
  </si>
  <si>
    <t xml:space="preserve">FCA Handbook PRIN 2A.5.5R</t>
  </si>
  <si>
    <t xml:space="preserve">{ action: 'perform_check', action_parameters: { check_type: 'consumer_duty_promotion_understanding_overlay', covers: ['target_market_alignment','tested_for_understanding','vulnerability_considered'] }, assertion: 'communication.consumer_duty_promotion_understanding_overlay_passed == true' }</t>
  </si>
  <si>
    <t xml:space="preserve">[{ type: 'communication', location: 'communications_table', selector: 'consumer_duty_promotion_overlay_flag==true', retention_years: 6 }]</t>
  </si>
  <si>
    <t xml:space="preserve">UK-CD-022</t>
  </si>
  <si>
    <t xml:space="preserve">Consumer Duty overlay on FOS referral: support customer to exercise rights</t>
  </si>
  <si>
    <t xml:space="preserve">FCA Handbook PRIN 2A.6 (Consumer support outcome)</t>
  </si>
  <si>
    <t xml:space="preserve">{ action: 'perform_check', action_parameters: { check_type: 'consumer_duty_fos_support_overlay', covers: ['clear_explanation_of_fos','contact_details_prominent','no_barriers_to_referral'] }, assertion: 'communication.consumer_duty_fos_support_overlay_passed == true' }</t>
  </si>
  <si>
    <t xml:space="preserve">[{ type: 'communication', location: 'communications_table', selector: 'consumer_duty_fos_support_overlay_flag==true', retention_years: 6 }]</t>
  </si>
  <si>
    <t xml:space="preserve">UK-CD-023</t>
  </si>
  <si>
    <t xml:space="preserve">Consumer Duty overlay on collections: avoid foreseeable harm</t>
  </si>
  <si>
    <t xml:space="preserve">{ action: 'perform_check', action_parameters: { check_type: 'consumer_duty_collections_overlay', covers: ['no_undue_pressure','vulnerability_tailored_approach','reasonable_communication_frequency'] }, assertion: 'communication.consumer_duty_collections_overlay_passed == true' }</t>
  </si>
  <si>
    <t xml:space="preserve">[{ type: 'communication', location: 'communications_table', selector: 'consumer_duty_collections_overlay_flag==true', retention_years: 6 }]</t>
  </si>
  <si>
    <t xml:space="preserve">Nuqe v1 Obligation Library - Decomposition Run with Flag Resolution</t>
  </si>
  <si>
    <t xml:space="preserve">Method version conformed to:</t>
  </si>
  <si>
    <t xml:space="preserve">v0.1</t>
  </si>
  <si>
    <t xml:space="preserve">Total rows:</t>
  </si>
  <si>
    <t xml:space="preserve">Scope:</t>
  </si>
  <si>
    <t xml:space="preserve">UK FCA v1 (DISP, CONC, CCA, BNPL DPC, Consumer Duty)</t>
  </si>
  <si>
    <t xml:space="preserve">All rows enter at review_status:</t>
  </si>
  <si>
    <t xml:space="preserve">draft</t>
  </si>
  <si>
    <t xml:space="preserve">Flag resolution pass:</t>
  </si>
  <si>
    <t xml:space="preserve">May 2026</t>
  </si>
  <si>
    <t xml:space="preserve">Resolution summary:</t>
  </si>
  <si>
    <t xml:space="preserve">Flag 1 (BNPL PS26/1 citations)</t>
  </si>
  <si>
    <t xml:space="preserve">5 rows (UK-BNPL-001..005) moved from approved to peer_review pending FCA Handbook update after 15 July 2026. Re-verify source_document and source_url against final CONC and DISP rule numbers when the Handbook publishes.</t>
  </si>
  <si>
    <t xml:space="preserve">Flag 2 (s.75 overlay question)</t>
  </si>
  <si>
    <t xml:space="preserve">Closed. UK-CCA-001 remains a standalone obligation. Section 75 connected lender liability is substantively distinct from DISP complaint handling; firms may apply DISP timing operationally but the statutory obligation is not an overlay of DISP.</t>
  </si>
  <si>
    <t xml:space="preserve">Flag 3 (CCA s.77/s.78 citation)</t>
  </si>
  <si>
    <t xml:space="preserve">UK-CCA-002 and UK-CCA-003: source_document updated to include Consumer Credit (Prescribed Periods for Giving Information) Regulations 1983, SI 1983/1569. Version bumped to 1.0.1 (editorial).</t>
  </si>
  <si>
    <t xml:space="preserve">Flag 4 (CONC-013 effective date)</t>
  </si>
  <si>
    <t xml:space="preserve">UK-CONC-013: effective_from corrected from 2024-11-15 to 2024-11-04 per FCA Instrument 2024/7 and PS24/2 (Strengthening protections for borrowers in financial difficulty). source_document updated to cite the instrument. Version bumped to 1.0.1.</t>
  </si>
  <si>
    <t xml:space="preserve">Flag 5 (DISP-008 14-day check)</t>
  </si>
  <si>
    <t xml:space="preserve">UK-DISP-008 moved from approved to peer_review. exceptions field updated to make explicit that the 14-day scheduled_check is a Nuqe operational interpretation, not a regulatory deadline. Awaiting peer review on whether the operational control should remain in this row or move to a separate firm-policy layer.</t>
  </si>
  <si>
    <t xml:space="preserve">Flag 6 (Consumer Duty overlays)</t>
  </si>
  <si>
    <t xml:space="preserve">UK-CD-007, UK-CD-008, UK-CD-009 moved from approved to peer_review. Full overlay mapping requires a dedicated pass once base obligations are stable. Other UK-CD rows (001-006, 010) remain approved as they are not overlay-mapped.</t>
  </si>
  <si>
    <t xml:space="preserve">Flag 7 (CCA s.87 prescribed form)</t>
  </si>
  <si>
    <t xml:space="preserve">UK-CCA-010: source_document updated to cite Consumer Credit (Enforcement, Default and Termination Notices) Regulations 1983, SI 1983/1561. Version bumped to 1.0.1 (editorial).</t>
  </si>
  <si>
    <t xml:space="preserve">Flag 8 (CONC persistent debt stages)</t>
  </si>
  <si>
    <t xml:space="preserve">Two new rows added: UK-CONC-019 (27-month second notification, CONC 6.7.31R) and UK-CONC-020 (36-month action to assist repayment, CONC 6.7.40R). Both at review_status=draft pending peer review against source.</t>
  </si>
  <si>
    <t xml:space="preserve">Flag 9 (CCA-006 statement-cycle timing)</t>
  </si>
  <si>
    <t xml:space="preserve">Closed. deadline_unit=none is a valid value per Method Section 9.7. exceptions field updated to make explicit that the dispatch is tied to the next required statement under s.78(4), not a fixed period from status_changed.</t>
  </si>
  <si>
    <t xml:space="preserve">Flag 10 / Method conflict (deadline_unit vocabulary)</t>
  </si>
  <si>
    <t xml:space="preserve">Resolved across all rows. UK-DISP-009 and UK-DISP-010: 8 weeks converted to 56 calendar_days. UK-CD-010: 12 months converted to 365 calendar_days, with conversion documented in exceptions. All three rows version-bumped to 1.0.1. Method v0.1 vocabulary (calendar_days, business_days, hours, none) is now respected across the library.</t>
  </si>
  <si>
    <t xml:space="preserve">Post-resolution status:</t>
  </si>
  <si>
    <t xml:space="preserve">review_status = approved</t>
  </si>
  <si>
    <t xml:space="preserve">review_status = peer_review</t>
  </si>
  <si>
    <t xml:space="preserve">review_status = draft</t>
  </si>
  <si>
    <t xml:space="preserve">Rows by framework:</t>
  </si>
  <si>
    <t xml:space="preserve">Outstanding for next pass:</t>
  </si>
  <si>
    <t xml:space="preserve">1.</t>
  </si>
  <si>
    <t xml:space="preserve">Re-verify BNPL row citations against final FCA Handbook after 15 July 2026.</t>
  </si>
  <si>
    <t xml:space="preserve">2.</t>
  </si>
  <si>
    <t xml:space="preserve">Peer-review UK-CONC-019 and UK-CONC-020 against CONC 6.7.31R and 6.7.40R source text.</t>
  </si>
  <si>
    <t xml:space="preserve">3.</t>
  </si>
  <si>
    <t xml:space="preserve">Dedicated Consumer Duty overlay-mapping pass once all base obligations are approved.</t>
  </si>
  <si>
    <t xml:space="preserve">4.</t>
  </si>
  <si>
    <t xml:space="preserve">Decide whether UK-DISP-008 operational 14-day check belongs in the obligation library or in a separate firm-policy layer.</t>
  </si>
  <si>
    <t xml:space="preserve">5.</t>
  </si>
  <si>
    <t xml:space="preserve">Peer-review UK-CONC-021 to UK-CONC-028 against CONC 4.2, 4.5, 4.6, and 4.8 source text.</t>
  </si>
  <si>
    <t xml:space="preserve">6.</t>
  </si>
  <si>
    <t xml:space="preserve">Monitor for FCA motor finance commission instruments (post CP24/5) that may strengthen UK-CONC-027.</t>
  </si>
  <si>
    <t xml:space="preserve">Rows added</t>
  </si>
  <si>
    <t xml:space="preserve">8 (UK-CONC-021 to UK-CONC-028)</t>
  </si>
  <si>
    <t xml:space="preserve">Scope</t>
  </si>
  <si>
    <t xml:space="preserve">CONC 4.2 (adequate explanation, oral explanation, specified-case disclosures), CONC 4.5 (commission disclosure), CONC 4.6 (CPA pre-contract terms and explanation, guarantor explanation), CONC 4.8 (pre-contract unfair business practices).</t>
  </si>
  <si>
    <t xml:space="preserve">All 8 rows enter at draft pending peer review against source text.</t>
  </si>
  <si>
    <t xml:space="preserve">Overlays</t>
  </si>
  <si>
    <t xml:space="preserve">UK-CONC-023 and UK-CONC-025 mark overlay_of=UK-CONC-021 (additional pre-contract disclosure obligations layered on the base adequate explanation duty).</t>
  </si>
  <si>
    <t xml:space="preserve">Out of scope (deferred)</t>
  </si>
  <si>
    <t xml:space="preserve">CONC 4.3 (P2P agreements), CONC 4.4 (credit broker pre-contract rules), CONC 4.7 (current account information). P2P and current account products are not in v1 scope; CONC 4.4 applies to credit brokers, not lenders directly.</t>
  </si>
  <si>
    <t xml:space="preserve">Session 3 (May 2026): Peer review + CCA non-card + DISP 1.3/1.9/1.10</t>
  </si>
  <si>
    <t xml:space="preserve">Peer-reviewed and approved</t>
  </si>
  <si>
    <t xml:space="preserve">10 rows moved from draft to approved. Citation corrections applied to UK-CONC-019 (now CONC 6.7.27R(4)), UK-CONC-020 (now CONC 6.7.31R read with 6.7.40G), UK-CONC-024 (now CONC 4.6.3R), UK-CONC-025 (now CONC 4.6.2R), UK-CONC-026 (now CONC 4.6.5R applying 4.6.2R(2)), UK-CONC-028 (now CONC 4.8.2R). All version-bumped to 1.0.1.</t>
  </si>
  <si>
    <t xml:space="preserve">CCA non-card decomposition</t>
  </si>
  <si>
    <t xml:space="preserve">9 new rows added (UK-CCA-011 to UK-CCA-019). Covers s.55C statutory pre-contract explanation, s.66A withdrawal, s.66A(9)-(10) 30-day repayment, s.94 early settlement, s.97 settlement statement, s.97A partial early settlement, s.98 termination notice, s.98A open-end termination notice, s.76 entitled-action notice. All enter at draft pending peer review.</t>
  </si>
  <si>
    <t xml:space="preserve">DISP 1.3 / 1.9 / 1.10 decomposition</t>
  </si>
  <si>
    <t xml:space="preserve">6 new rows added (UK-DISP-012 to UK-DISP-017). Covers DISP 1.3.1R (procedures), 1.3.7R (oversight), 1.3.3R/1.3.6R (root cause), 1.9.1R (record retention), 1.10.1R (twice-yearly return), 1.10A.1R (public data publication ≥500 complaints). All enter at draft pending peer review.</t>
  </si>
  <si>
    <t xml:space="preserve">Session 4 (May 2026): Push to engineering threshold</t>
  </si>
  <si>
    <t xml:space="preserve">Peer-reviewed batch 1 (15 rows)</t>
  </si>
  <si>
    <t xml:space="preserve">10 rows moved from draft to approved after citation corrections to UK-CONC-019, 020, 024, 025, 026, 028 (six corrections applied). Now part of approved set.</t>
  </si>
  <si>
    <t xml:space="preserve">Peer-reviewed batch 2 (15 rows)</t>
  </si>
  <si>
    <t xml:space="preserve">14 approved (8 CCA non-card UK-CCA-011 to 019 except 015; 6 DISP UK-DISP-012 to 017 with 017 deadline corrected). UK-CCA-015 moved to peer_review pending verification of post-2010 SI 1983/1564 amendment to s.97 prescribed period.</t>
  </si>
  <si>
    <t xml:space="preserve">Batch 2 additions (22 rows)</t>
  </si>
  <si>
    <t xml:space="preserve">UK-CONC-029 to 050 across CONC 2 conduct, CONC 11 cancellation, CONC 13 guarantors, CONC 7 collections, DISP 2 FOS jurisdiction (UK-DISP-018 to 022), DISP 3 FOS procedures, DISP 1.2 awareness, CCA additional (UK-CCA-022 to 025), dedicated Consumer Duty overlay pass (UK-CD-011 to 020).</t>
  </si>
  <si>
    <t xml:space="preserve">Batch 2 peer review</t>
  </si>
  <si>
    <t xml:space="preserve">25 approved, 1 moved to peer_review (UK-CONC-031 CONC 2.7.2R copy of executed agreement - flagged for overlap with CCA s.61/63).</t>
  </si>
  <si>
    <t xml:space="preserve">Batch 3 additions (27 rows)</t>
  </si>
  <si>
    <t xml:space="preserve">UK-CONC-051 to 064 (records, distance marketing, vulnerability, GDPR, HCSTC warnings, creditworthiness deeper, forbearance, suspension, long-term reviews, statements, total cost, missed payments, source diversity, refinance); UK-DISP-027 to 031 (FOS award limit, systemic issues, former customers, confidentiality, fair treatment); UK-CCA-026 to 030 (running-account settlement, marketing consent, security disclosure, guarantor variation, customer record inspection); UK-CD-021 to 023 (Consumer Duty overlays on promotions, FOS support, collections).</t>
  </si>
  <si>
    <t xml:space="preserve">Batch 3 peer review</t>
  </si>
  <si>
    <t xml:space="preserve">26 approved, 1 moved to peer_review (UK-CCA-026 running-account settlement, flagged for the same SI 1983/1564 prescribed-period verification as UK-CCA-015).</t>
  </si>
  <si>
    <t xml:space="preserve">Final state</t>
  </si>
  <si>
    <t xml:space="preserve">153 total rows, 141 approved, 12 peer_review. Method vocabulary compliance verified. Library meets engineering threshold.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</si>
</sst>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andbook.fca.org.uk/handbook/DISP/1/4.html" TargetMode="External"/><Relationship Id="rId2" Type="http://schemas.openxmlformats.org/officeDocument/2006/relationships/hyperlink" Target="https://www.handbook.fca.org.uk/handbook/DISP/1/4.html" TargetMode="External"/><Relationship Id="rId3" Type="http://schemas.openxmlformats.org/officeDocument/2006/relationships/hyperlink" Target="https://www.handbook.fca.org.uk/handbook/DISP/1/4.html" TargetMode="External"/><Relationship Id="rId4" Type="http://schemas.openxmlformats.org/officeDocument/2006/relationships/hyperlink" Target="https://www.handbook.fca.org.uk/handbook/DISP/1/4.html" TargetMode="External"/><Relationship Id="rId5" Type="http://schemas.openxmlformats.org/officeDocument/2006/relationships/hyperlink" Target="https://www.handbook.fca.org.uk/handbook/DISP/1/5.html" TargetMode="External"/><Relationship Id="rId6" Type="http://schemas.openxmlformats.org/officeDocument/2006/relationships/hyperlink" Target="https://www.handbook.fca.org.uk/handbook/DISP/1/5.html" TargetMode="External"/><Relationship Id="rId7" Type="http://schemas.openxmlformats.org/officeDocument/2006/relationships/hyperlink" Target="https://www.handbook.fca.org.uk/handbook/DISP/1/6.html" TargetMode="External"/><Relationship Id="rId8" Type="http://schemas.openxmlformats.org/officeDocument/2006/relationships/hyperlink" Target="https://www.handbook.fca.org.uk/handbook/DISP/1/6.html" TargetMode="External"/><Relationship Id="rId9" Type="http://schemas.openxmlformats.org/officeDocument/2006/relationships/hyperlink" Target="https://www.handbook.fca.org.uk/handbook/DISP/1/6.html" TargetMode="External"/><Relationship Id="rId10" Type="http://schemas.openxmlformats.org/officeDocument/2006/relationships/hyperlink" Target="https://www.handbook.fca.org.uk/handbook/DISP/1/6.html" TargetMode="External"/><Relationship Id="rId11" Type="http://schemas.openxmlformats.org/officeDocument/2006/relationships/hyperlink" Target="https://www.handbook.fca.org.uk/handbook/DISP/1/6.html" TargetMode="External"/><Relationship Id="rId12" Type="http://schemas.openxmlformats.org/officeDocument/2006/relationships/hyperlink" Target="https://www.handbook.fca.org.uk/handbook/CONC/5/2A.html" TargetMode="External"/><Relationship Id="rId13" Type="http://schemas.openxmlformats.org/officeDocument/2006/relationships/hyperlink" Target="https://www.handbook.fca.org.uk/handbook/CONC/5/2A.html" TargetMode="External"/><Relationship Id="rId14" Type="http://schemas.openxmlformats.org/officeDocument/2006/relationships/hyperlink" Target="https://www.handbook.fca.org.uk/handbook/CONC/5/2A.html" TargetMode="External"/><Relationship Id="rId15" Type="http://schemas.openxmlformats.org/officeDocument/2006/relationships/hyperlink" Target="https://www.handbook.fca.org.uk/handbook/CONC/5/2A.html" TargetMode="External"/><Relationship Id="rId16" Type="http://schemas.openxmlformats.org/officeDocument/2006/relationships/hyperlink" Target="https://www.handbook.fca.org.uk/handbook/CONC/6/7.html" TargetMode="External"/><Relationship Id="rId17" Type="http://schemas.openxmlformats.org/officeDocument/2006/relationships/hyperlink" Target="https://www.handbook.fca.org.uk/handbook/CONC/6/7.html" TargetMode="External"/><Relationship Id="rId18" Type="http://schemas.openxmlformats.org/officeDocument/2006/relationships/hyperlink" Target="https://www.handbook.fca.org.uk/handbook/CONC/6/7.html" TargetMode="External"/><Relationship Id="rId19" Type="http://schemas.openxmlformats.org/officeDocument/2006/relationships/hyperlink" Target="https://www.handbook.fca.org.uk/handbook/CONC/6/7.html" TargetMode="External"/><Relationship Id="rId20" Type="http://schemas.openxmlformats.org/officeDocument/2006/relationships/hyperlink" Target="https://www.handbook.fca.org.uk/handbook/CONC/6/7.html" TargetMode="External"/><Relationship Id="rId21" Type="http://schemas.openxmlformats.org/officeDocument/2006/relationships/hyperlink" Target="https://www.handbook.fca.org.uk/handbook/CONC/7/3.html" TargetMode="External"/><Relationship Id="rId22" Type="http://schemas.openxmlformats.org/officeDocument/2006/relationships/hyperlink" Target="https://www.handbook.fca.org.uk/handbook/CONC/7/3.html" TargetMode="External"/><Relationship Id="rId23" Type="http://schemas.openxmlformats.org/officeDocument/2006/relationships/hyperlink" Target="https://www.handbook.fca.org.uk/handbook/CONC/7/3.html" TargetMode="External"/><Relationship Id="rId24" Type="http://schemas.openxmlformats.org/officeDocument/2006/relationships/hyperlink" Target="https://www.handbook.fca.org.uk/handbook/CONC/7/3.html" TargetMode="External"/><Relationship Id="rId25" Type="http://schemas.openxmlformats.org/officeDocument/2006/relationships/hyperlink" Target="https://www.handbook.fca.org.uk/handbook/CONC/7/3.html" TargetMode="External"/><Relationship Id="rId26" Type="http://schemas.openxmlformats.org/officeDocument/2006/relationships/hyperlink" Target="https://www.handbook.fca.org.uk/handbook/CONC/7/3.html" TargetMode="External"/><Relationship Id="rId27" Type="http://schemas.openxmlformats.org/officeDocument/2006/relationships/hyperlink" Target="https://www.handbook.fca.org.uk/handbook/CONC/7/7.html" TargetMode="External"/><Relationship Id="rId28" Type="http://schemas.openxmlformats.org/officeDocument/2006/relationships/hyperlink" Target="https://www.handbook.fca.org.uk/handbook/CONC/7/6.html" TargetMode="External"/><Relationship Id="rId29" Type="http://schemas.openxmlformats.org/officeDocument/2006/relationships/hyperlink" Target="https://www.legislation.gov.uk/ukpga/1974/39/section/75" TargetMode="External"/><Relationship Id="rId30" Type="http://schemas.openxmlformats.org/officeDocument/2006/relationships/hyperlink" Target="https://www.legislation.gov.uk/ukpga/1974/39/section/77" TargetMode="External"/><Relationship Id="rId31" Type="http://schemas.openxmlformats.org/officeDocument/2006/relationships/hyperlink" Target="https://www.legislation.gov.uk/ukpga/1974/39/section/78" TargetMode="External"/><Relationship Id="rId32" Type="http://schemas.openxmlformats.org/officeDocument/2006/relationships/hyperlink" Target="https://www.legislation.gov.uk/ukpga/1974/39/section/78A" TargetMode="External"/><Relationship Id="rId33" Type="http://schemas.openxmlformats.org/officeDocument/2006/relationships/hyperlink" Target="https://www.legislation.gov.uk/ukpga/1974/39/section/86B" TargetMode="External"/><Relationship Id="rId34" Type="http://schemas.openxmlformats.org/officeDocument/2006/relationships/hyperlink" Target="https://www.legislation.gov.uk/ukpga/1974/39/section/86C" TargetMode="External"/><Relationship Id="rId35" Type="http://schemas.openxmlformats.org/officeDocument/2006/relationships/hyperlink" Target="https://www.legislation.gov.uk/ukpga/1974/39/section/86D" TargetMode="External"/><Relationship Id="rId36" Type="http://schemas.openxmlformats.org/officeDocument/2006/relationships/hyperlink" Target="https://www.legislation.gov.uk/ukpga/1974/39/section/86E" TargetMode="External"/><Relationship Id="rId37" Type="http://schemas.openxmlformats.org/officeDocument/2006/relationships/hyperlink" Target="https://www.legislation.gov.uk/ukpga/1974/39/section/86F" TargetMode="External"/><Relationship Id="rId38" Type="http://schemas.openxmlformats.org/officeDocument/2006/relationships/hyperlink" Target="https://www.legislation.gov.uk/ukpga/1974/39/section/87" TargetMode="External"/><Relationship Id="rId39" Type="http://schemas.openxmlformats.org/officeDocument/2006/relationships/hyperlink" Target="https://www.fca.org.uk/publication/policy/ps26-1.pdf" TargetMode="External"/><Relationship Id="rId40" Type="http://schemas.openxmlformats.org/officeDocument/2006/relationships/hyperlink" Target="https://www.fca.org.uk/publication/policy/ps26-1.pdf" TargetMode="External"/><Relationship Id="rId41" Type="http://schemas.openxmlformats.org/officeDocument/2006/relationships/hyperlink" Target="https://www.fca.org.uk/publication/policy/ps26-1.pdf" TargetMode="External"/><Relationship Id="rId42" Type="http://schemas.openxmlformats.org/officeDocument/2006/relationships/hyperlink" Target="https://www.fca.org.uk/publication/policy/ps26-1.pdf" TargetMode="External"/><Relationship Id="rId43" Type="http://schemas.openxmlformats.org/officeDocument/2006/relationships/hyperlink" Target="https://www.fca.org.uk/publication/policy/ps26-1.pdf" TargetMode="External"/><Relationship Id="rId44" Type="http://schemas.openxmlformats.org/officeDocument/2006/relationships/hyperlink" Target="https://www.handbook.fca.org.uk/handbook/PRIN/2/1.html" TargetMode="External"/><Relationship Id="rId45" Type="http://schemas.openxmlformats.org/officeDocument/2006/relationships/hyperlink" Target="https://www.handbook.fca.org.uk/handbook/PRIN/2A/2.html" TargetMode="External"/><Relationship Id="rId46" Type="http://schemas.openxmlformats.org/officeDocument/2006/relationships/hyperlink" Target="https://www.handbook.fca.org.uk/handbook/PRIN/2A/2.html" TargetMode="External"/><Relationship Id="rId47" Type="http://schemas.openxmlformats.org/officeDocument/2006/relationships/hyperlink" Target="https://www.handbook.fca.org.uk/handbook/PRIN/2A/2.html" TargetMode="External"/><Relationship Id="rId48" Type="http://schemas.openxmlformats.org/officeDocument/2006/relationships/hyperlink" Target="https://www.handbook.fca.org.uk/handbook/PRIN/2A/3.html" TargetMode="External"/><Relationship Id="rId49" Type="http://schemas.openxmlformats.org/officeDocument/2006/relationships/hyperlink" Target="https://www.handbook.fca.org.uk/handbook/PRIN/2A/4.html" TargetMode="External"/><Relationship Id="rId50" Type="http://schemas.openxmlformats.org/officeDocument/2006/relationships/hyperlink" Target="https://www.handbook.fca.org.uk/handbook/PRIN/2A/5.html" TargetMode="External"/><Relationship Id="rId51" Type="http://schemas.openxmlformats.org/officeDocument/2006/relationships/hyperlink" Target="https://www.handbook.fca.org.uk/handbook/PRIN/2A/6.html" TargetMode="External"/><Relationship Id="rId52" Type="http://schemas.openxmlformats.org/officeDocument/2006/relationships/hyperlink" Target="https://www.handbook.fca.org.uk/handbook/PRIN/2A/6.html" TargetMode="External"/><Relationship Id="rId53" Type="http://schemas.openxmlformats.org/officeDocument/2006/relationships/hyperlink" Target="https://www.handbook.fca.org.uk/handbook/PRIN/2A/8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N52" activePane="bottomRight" state="frozen"/>
      <selection pane="topLeft" activeCell="A1" activeCellId="0" sqref="A1"/>
      <selection pane="topRight" activeCell="N1" activeCellId="0" sqref="N1"/>
      <selection pane="bottomLeft" activeCell="A52" activeCellId="0" sqref="A52"/>
      <selection pane="bottomRight" activeCell="X2" activeCellId="0" sqref="X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4" min="3" style="1" width="1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32.86"/>
    <col collapsed="false" customWidth="true" hidden="false" outlineLevel="0" max="8" min="8" style="1" width="21.29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50"/>
    <col collapsed="false" customWidth="true" hidden="false" outlineLevel="0" max="12" min="12" style="1" width="60"/>
    <col collapsed="false" customWidth="true" hidden="false" outlineLevel="0" max="13" min="13" style="1" width="21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16" min="16" style="1" width="45"/>
    <col collapsed="false" customWidth="true" hidden="false" outlineLevel="0" max="17" min="17" style="1" width="18"/>
    <col collapsed="false" customWidth="true" hidden="false" outlineLevel="0" max="18" min="18" style="1" width="35"/>
    <col collapsed="false" customWidth="true" hidden="false" outlineLevel="0" max="20" min="19" style="1" width="14"/>
    <col collapsed="false" customWidth="true" hidden="false" outlineLevel="0" max="21" min="21" style="1" width="17.86"/>
    <col collapsed="false" customWidth="true" hidden="false" outlineLevel="0" max="22" min="22" style="1" width="17.15"/>
    <col collapsed="false" customWidth="true" hidden="false" outlineLevel="0" max="23" min="23" style="1" width="10"/>
    <col collapsed="false" customWidth="true" hidden="false" outlineLevel="0" max="24" min="24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99.7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4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/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/>
      <c r="T2" s="3"/>
      <c r="U2" s="3" t="s">
        <v>41</v>
      </c>
      <c r="V2" s="3"/>
      <c r="W2" s="3" t="s">
        <v>42</v>
      </c>
      <c r="X2" s="3" t="s">
        <v>43</v>
      </c>
    </row>
    <row r="3" customFormat="false" ht="99.75" hidden="false" customHeight="true" outlineLevel="0" collapsed="false">
      <c r="A3" s="3" t="s">
        <v>44</v>
      </c>
      <c r="B3" s="3" t="s">
        <v>45</v>
      </c>
      <c r="C3" s="3" t="s">
        <v>26</v>
      </c>
      <c r="D3" s="3" t="s">
        <v>27</v>
      </c>
      <c r="E3" s="3" t="s">
        <v>28</v>
      </c>
      <c r="F3" s="3" t="s">
        <v>46</v>
      </c>
      <c r="G3" s="4" t="s">
        <v>30</v>
      </c>
      <c r="H3" s="3" t="s">
        <v>31</v>
      </c>
      <c r="I3" s="3" t="s">
        <v>32</v>
      </c>
      <c r="J3" s="3" t="s">
        <v>33</v>
      </c>
      <c r="K3" s="3" t="s">
        <v>47</v>
      </c>
      <c r="L3" s="3" t="s">
        <v>48</v>
      </c>
      <c r="M3" s="3"/>
      <c r="N3" s="3" t="s">
        <v>36</v>
      </c>
      <c r="O3" s="3" t="s">
        <v>37</v>
      </c>
      <c r="P3" s="3" t="s">
        <v>49</v>
      </c>
      <c r="Q3" s="3" t="s">
        <v>50</v>
      </c>
      <c r="R3" s="3" t="s">
        <v>40</v>
      </c>
      <c r="S3" s="3"/>
      <c r="T3" s="3"/>
      <c r="U3" s="3" t="s">
        <v>41</v>
      </c>
      <c r="V3" s="3"/>
      <c r="W3" s="3" t="s">
        <v>42</v>
      </c>
      <c r="X3" s="3" t="s">
        <v>43</v>
      </c>
    </row>
    <row r="4" customFormat="false" ht="99.75" hidden="false" customHeight="true" outlineLevel="0" collapsed="false">
      <c r="A4" s="3" t="s">
        <v>51</v>
      </c>
      <c r="B4" s="3" t="s">
        <v>52</v>
      </c>
      <c r="C4" s="3" t="s">
        <v>26</v>
      </c>
      <c r="D4" s="3" t="s">
        <v>27</v>
      </c>
      <c r="E4" s="3" t="s">
        <v>28</v>
      </c>
      <c r="F4" s="3" t="s">
        <v>53</v>
      </c>
      <c r="G4" s="4" t="s">
        <v>30</v>
      </c>
      <c r="H4" s="3" t="s">
        <v>31</v>
      </c>
      <c r="I4" s="3" t="s">
        <v>32</v>
      </c>
      <c r="J4" s="3" t="s">
        <v>33</v>
      </c>
      <c r="K4" s="3" t="s">
        <v>54</v>
      </c>
      <c r="L4" s="3" t="s">
        <v>55</v>
      </c>
      <c r="M4" s="3"/>
      <c r="N4" s="3" t="s">
        <v>36</v>
      </c>
      <c r="O4" s="3" t="s">
        <v>56</v>
      </c>
      <c r="P4" s="3" t="s">
        <v>57</v>
      </c>
      <c r="Q4" s="3" t="s">
        <v>39</v>
      </c>
      <c r="R4" s="3" t="s">
        <v>40</v>
      </c>
      <c r="S4" s="3"/>
      <c r="T4" s="3"/>
      <c r="U4" s="3" t="s">
        <v>41</v>
      </c>
      <c r="V4" s="3"/>
      <c r="W4" s="3" t="s">
        <v>42</v>
      </c>
      <c r="X4" s="3" t="s">
        <v>43</v>
      </c>
    </row>
    <row r="5" customFormat="false" ht="99.75" hidden="false" customHeight="true" outlineLevel="0" collapsed="false">
      <c r="A5" s="3" t="s">
        <v>58</v>
      </c>
      <c r="B5" s="3" t="s">
        <v>59</v>
      </c>
      <c r="C5" s="3" t="s">
        <v>26</v>
      </c>
      <c r="D5" s="3" t="s">
        <v>27</v>
      </c>
      <c r="E5" s="3" t="s">
        <v>28</v>
      </c>
      <c r="F5" s="3" t="s">
        <v>60</v>
      </c>
      <c r="G5" s="4" t="s">
        <v>30</v>
      </c>
      <c r="H5" s="3" t="s">
        <v>31</v>
      </c>
      <c r="I5" s="3" t="s">
        <v>32</v>
      </c>
      <c r="J5" s="3" t="s">
        <v>33</v>
      </c>
      <c r="K5" s="3" t="s">
        <v>61</v>
      </c>
      <c r="L5" s="3" t="s">
        <v>62</v>
      </c>
      <c r="M5" s="3"/>
      <c r="N5" s="3" t="s">
        <v>36</v>
      </c>
      <c r="O5" s="3" t="s">
        <v>56</v>
      </c>
      <c r="P5" s="3" t="s">
        <v>63</v>
      </c>
      <c r="Q5" s="3" t="s">
        <v>39</v>
      </c>
      <c r="R5" s="3" t="s">
        <v>40</v>
      </c>
      <c r="S5" s="3"/>
      <c r="T5" s="3"/>
      <c r="U5" s="3" t="s">
        <v>41</v>
      </c>
      <c r="V5" s="3"/>
      <c r="W5" s="3" t="s">
        <v>42</v>
      </c>
      <c r="X5" s="3" t="s">
        <v>43</v>
      </c>
    </row>
    <row r="6" customFormat="false" ht="99.75" hidden="false" customHeight="true" outlineLevel="0" collapsed="false">
      <c r="A6" s="3" t="s">
        <v>64</v>
      </c>
      <c r="B6" s="3" t="s">
        <v>65</v>
      </c>
      <c r="C6" s="3" t="s">
        <v>26</v>
      </c>
      <c r="D6" s="3" t="s">
        <v>27</v>
      </c>
      <c r="E6" s="3" t="s">
        <v>28</v>
      </c>
      <c r="F6" s="3" t="s">
        <v>66</v>
      </c>
      <c r="G6" s="4" t="s">
        <v>67</v>
      </c>
      <c r="H6" s="3" t="s">
        <v>31</v>
      </c>
      <c r="I6" s="3" t="s">
        <v>32</v>
      </c>
      <c r="J6" s="3" t="s">
        <v>33</v>
      </c>
      <c r="K6" s="3" t="s">
        <v>68</v>
      </c>
      <c r="L6" s="3" t="s">
        <v>69</v>
      </c>
      <c r="M6" s="3" t="s">
        <v>70</v>
      </c>
      <c r="N6" s="3" t="s">
        <v>71</v>
      </c>
      <c r="O6" s="3" t="s">
        <v>37</v>
      </c>
      <c r="P6" s="3" t="s">
        <v>72</v>
      </c>
      <c r="Q6" s="3" t="s">
        <v>39</v>
      </c>
      <c r="R6" s="3" t="s">
        <v>73</v>
      </c>
      <c r="S6" s="3"/>
      <c r="T6" s="3"/>
      <c r="U6" s="3" t="s">
        <v>74</v>
      </c>
      <c r="V6" s="3"/>
      <c r="W6" s="3" t="s">
        <v>42</v>
      </c>
      <c r="X6" s="3" t="s">
        <v>43</v>
      </c>
    </row>
    <row r="7" customFormat="false" ht="99.75" hidden="false" customHeight="true" outlineLevel="0" collapsed="false">
      <c r="A7" s="3" t="s">
        <v>75</v>
      </c>
      <c r="B7" s="3" t="s">
        <v>76</v>
      </c>
      <c r="C7" s="3" t="s">
        <v>26</v>
      </c>
      <c r="D7" s="3" t="s">
        <v>27</v>
      </c>
      <c r="E7" s="3" t="s">
        <v>28</v>
      </c>
      <c r="F7" s="3" t="s">
        <v>77</v>
      </c>
      <c r="G7" s="4" t="s">
        <v>67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78</v>
      </c>
      <c r="M7" s="3"/>
      <c r="N7" s="3" t="s">
        <v>36</v>
      </c>
      <c r="O7" s="3" t="s">
        <v>37</v>
      </c>
      <c r="P7" s="3" t="s">
        <v>79</v>
      </c>
      <c r="Q7" s="3" t="s">
        <v>80</v>
      </c>
      <c r="R7" s="3" t="s">
        <v>40</v>
      </c>
      <c r="S7" s="3"/>
      <c r="T7" s="3"/>
      <c r="U7" s="3" t="s">
        <v>74</v>
      </c>
      <c r="V7" s="3"/>
      <c r="W7" s="3" t="s">
        <v>42</v>
      </c>
      <c r="X7" s="3" t="s">
        <v>43</v>
      </c>
    </row>
    <row r="8" customFormat="false" ht="99.75" hidden="false" customHeight="true" outlineLevel="0" collapsed="false">
      <c r="A8" s="3" t="s">
        <v>81</v>
      </c>
      <c r="B8" s="3" t="s">
        <v>82</v>
      </c>
      <c r="C8" s="3" t="s">
        <v>26</v>
      </c>
      <c r="D8" s="3" t="s">
        <v>27</v>
      </c>
      <c r="E8" s="3" t="s">
        <v>28</v>
      </c>
      <c r="F8" s="3" t="s">
        <v>83</v>
      </c>
      <c r="G8" s="4" t="s">
        <v>84</v>
      </c>
      <c r="H8" s="3" t="s">
        <v>31</v>
      </c>
      <c r="I8" s="3" t="s">
        <v>32</v>
      </c>
      <c r="J8" s="3" t="s">
        <v>33</v>
      </c>
      <c r="K8" s="3" t="s">
        <v>85</v>
      </c>
      <c r="L8" s="3" t="s">
        <v>86</v>
      </c>
      <c r="M8" s="3"/>
      <c r="N8" s="3" t="s">
        <v>36</v>
      </c>
      <c r="O8" s="3" t="s">
        <v>37</v>
      </c>
      <c r="P8" s="3" t="s">
        <v>87</v>
      </c>
      <c r="Q8" s="3" t="s">
        <v>39</v>
      </c>
      <c r="R8" s="3" t="s">
        <v>88</v>
      </c>
      <c r="S8" s="3"/>
      <c r="T8" s="3"/>
      <c r="U8" s="3" t="s">
        <v>74</v>
      </c>
      <c r="V8" s="3"/>
      <c r="W8" s="3" t="s">
        <v>42</v>
      </c>
      <c r="X8" s="3" t="s">
        <v>43</v>
      </c>
    </row>
    <row r="9" customFormat="false" ht="99.75" hidden="false" customHeight="true" outlineLevel="0" collapsed="false">
      <c r="A9" s="3" t="s">
        <v>89</v>
      </c>
      <c r="B9" s="3" t="s">
        <v>90</v>
      </c>
      <c r="C9" s="3" t="s">
        <v>26</v>
      </c>
      <c r="D9" s="3" t="s">
        <v>27</v>
      </c>
      <c r="E9" s="3" t="s">
        <v>28</v>
      </c>
      <c r="F9" s="3" t="s">
        <v>91</v>
      </c>
      <c r="G9" s="4" t="s">
        <v>84</v>
      </c>
      <c r="H9" s="3" t="s">
        <v>31</v>
      </c>
      <c r="I9" s="3" t="s">
        <v>32</v>
      </c>
      <c r="J9" s="3" t="s">
        <v>33</v>
      </c>
      <c r="K9" s="3" t="s">
        <v>92</v>
      </c>
      <c r="L9" s="3" t="s">
        <v>93</v>
      </c>
      <c r="M9" s="3"/>
      <c r="N9" s="3" t="s">
        <v>36</v>
      </c>
      <c r="O9" s="3" t="s">
        <v>94</v>
      </c>
      <c r="P9" s="3" t="s">
        <v>95</v>
      </c>
      <c r="Q9" s="3" t="s">
        <v>80</v>
      </c>
      <c r="R9" s="3" t="s">
        <v>96</v>
      </c>
      <c r="S9" s="3"/>
      <c r="T9" s="3"/>
      <c r="U9" s="3" t="s">
        <v>74</v>
      </c>
      <c r="V9" s="3"/>
      <c r="W9" s="3" t="s">
        <v>42</v>
      </c>
      <c r="X9" s="3" t="s">
        <v>97</v>
      </c>
    </row>
    <row r="10" customFormat="false" ht="99.75" hidden="false" customHeight="true" outlineLevel="0" collapsed="false">
      <c r="A10" s="3" t="s">
        <v>98</v>
      </c>
      <c r="B10" s="3" t="s">
        <v>99</v>
      </c>
      <c r="C10" s="3" t="s">
        <v>26</v>
      </c>
      <c r="D10" s="3" t="s">
        <v>27</v>
      </c>
      <c r="E10" s="3" t="s">
        <v>28</v>
      </c>
      <c r="F10" s="3" t="s">
        <v>100</v>
      </c>
      <c r="G10" s="4" t="s">
        <v>84</v>
      </c>
      <c r="H10" s="3" t="s">
        <v>31</v>
      </c>
      <c r="I10" s="3" t="s">
        <v>32</v>
      </c>
      <c r="J10" s="3" t="s">
        <v>33</v>
      </c>
      <c r="K10" s="3" t="s">
        <v>101</v>
      </c>
      <c r="L10" s="3" t="s">
        <v>102</v>
      </c>
      <c r="M10" s="3" t="n">
        <v>56</v>
      </c>
      <c r="N10" s="3" t="s">
        <v>103</v>
      </c>
      <c r="O10" s="3" t="s">
        <v>37</v>
      </c>
      <c r="P10" s="3" t="s">
        <v>104</v>
      </c>
      <c r="Q10" s="3" t="s">
        <v>39</v>
      </c>
      <c r="R10" s="3" t="s">
        <v>105</v>
      </c>
      <c r="S10" s="3"/>
      <c r="T10" s="3"/>
      <c r="U10" s="3" t="s">
        <v>74</v>
      </c>
      <c r="V10" s="3"/>
      <c r="W10" s="3" t="s">
        <v>106</v>
      </c>
      <c r="X10" s="3" t="s">
        <v>43</v>
      </c>
    </row>
    <row r="11" customFormat="false" ht="99.75" hidden="false" customHeight="true" outlineLevel="0" collapsed="false">
      <c r="A11" s="3" t="s">
        <v>107</v>
      </c>
      <c r="B11" s="3" t="s">
        <v>108</v>
      </c>
      <c r="C11" s="3" t="s">
        <v>26</v>
      </c>
      <c r="D11" s="3" t="s">
        <v>27</v>
      </c>
      <c r="E11" s="3" t="s">
        <v>28</v>
      </c>
      <c r="F11" s="3" t="s">
        <v>109</v>
      </c>
      <c r="G11" s="4" t="s">
        <v>84</v>
      </c>
      <c r="H11" s="3" t="s">
        <v>31</v>
      </c>
      <c r="I11" s="3" t="s">
        <v>32</v>
      </c>
      <c r="J11" s="3" t="s">
        <v>33</v>
      </c>
      <c r="K11" s="3" t="s">
        <v>110</v>
      </c>
      <c r="L11" s="3" t="s">
        <v>111</v>
      </c>
      <c r="M11" s="3" t="n">
        <v>56</v>
      </c>
      <c r="N11" s="3" t="s">
        <v>103</v>
      </c>
      <c r="O11" s="3" t="s">
        <v>37</v>
      </c>
      <c r="P11" s="3" t="s">
        <v>112</v>
      </c>
      <c r="Q11" s="3" t="s">
        <v>39</v>
      </c>
      <c r="R11" s="3" t="s">
        <v>113</v>
      </c>
      <c r="S11" s="3"/>
      <c r="T11" s="3"/>
      <c r="U11" s="3" t="s">
        <v>74</v>
      </c>
      <c r="V11" s="3"/>
      <c r="W11" s="3" t="s">
        <v>106</v>
      </c>
      <c r="X11" s="3" t="s">
        <v>43</v>
      </c>
    </row>
    <row r="12" customFormat="false" ht="99.75" hidden="false" customHeight="true" outlineLevel="0" collapsed="false">
      <c r="A12" s="3" t="s">
        <v>114</v>
      </c>
      <c r="B12" s="3" t="s">
        <v>115</v>
      </c>
      <c r="C12" s="3" t="s">
        <v>26</v>
      </c>
      <c r="D12" s="3" t="s">
        <v>27</v>
      </c>
      <c r="E12" s="3" t="s">
        <v>28</v>
      </c>
      <c r="F12" s="3" t="s">
        <v>116</v>
      </c>
      <c r="G12" s="4" t="s">
        <v>84</v>
      </c>
      <c r="H12" s="3" t="s">
        <v>117</v>
      </c>
      <c r="I12" s="3" t="s">
        <v>32</v>
      </c>
      <c r="J12" s="3" t="s">
        <v>33</v>
      </c>
      <c r="K12" s="3" t="s">
        <v>118</v>
      </c>
      <c r="L12" s="3" t="s">
        <v>119</v>
      </c>
      <c r="M12" s="3"/>
      <c r="N12" s="3" t="s">
        <v>36</v>
      </c>
      <c r="O12" s="3" t="s">
        <v>120</v>
      </c>
      <c r="P12" s="3" t="s">
        <v>121</v>
      </c>
      <c r="Q12" s="3" t="s">
        <v>80</v>
      </c>
      <c r="R12" s="3" t="s">
        <v>40</v>
      </c>
      <c r="S12" s="3" t="s">
        <v>98</v>
      </c>
      <c r="T12" s="3"/>
      <c r="U12" s="3" t="s">
        <v>74</v>
      </c>
      <c r="V12" s="3"/>
      <c r="W12" s="3" t="s">
        <v>42</v>
      </c>
      <c r="X12" s="3" t="s">
        <v>43</v>
      </c>
    </row>
    <row r="13" customFormat="false" ht="99.75" hidden="false" customHeight="true" outlineLevel="0" collapsed="false">
      <c r="A13" s="3" t="s">
        <v>122</v>
      </c>
      <c r="B13" s="3" t="s">
        <v>123</v>
      </c>
      <c r="C13" s="3" t="s">
        <v>26</v>
      </c>
      <c r="D13" s="3" t="s">
        <v>27</v>
      </c>
      <c r="E13" s="3" t="s">
        <v>124</v>
      </c>
      <c r="F13" s="3" t="s">
        <v>125</v>
      </c>
      <c r="G13" s="4" t="s">
        <v>126</v>
      </c>
      <c r="H13" s="3" t="s">
        <v>31</v>
      </c>
      <c r="I13" s="3" t="s">
        <v>127</v>
      </c>
      <c r="J13" s="3" t="s">
        <v>128</v>
      </c>
      <c r="K13" s="3" t="s">
        <v>129</v>
      </c>
      <c r="L13" s="3" t="s">
        <v>130</v>
      </c>
      <c r="M13" s="3"/>
      <c r="N13" s="3" t="s">
        <v>36</v>
      </c>
      <c r="O13" s="3" t="s">
        <v>56</v>
      </c>
      <c r="P13" s="3" t="s">
        <v>131</v>
      </c>
      <c r="Q13" s="3" t="s">
        <v>39</v>
      </c>
      <c r="R13" s="3" t="s">
        <v>132</v>
      </c>
      <c r="S13" s="3"/>
      <c r="T13" s="3"/>
      <c r="U13" s="3" t="s">
        <v>133</v>
      </c>
      <c r="V13" s="3"/>
      <c r="W13" s="3" t="s">
        <v>42</v>
      </c>
      <c r="X13" s="3" t="s">
        <v>43</v>
      </c>
    </row>
    <row r="14" customFormat="false" ht="99.75" hidden="false" customHeight="true" outlineLevel="0" collapsed="false">
      <c r="A14" s="3" t="s">
        <v>134</v>
      </c>
      <c r="B14" s="3" t="s">
        <v>135</v>
      </c>
      <c r="C14" s="3" t="s">
        <v>26</v>
      </c>
      <c r="D14" s="3" t="s">
        <v>27</v>
      </c>
      <c r="E14" s="3" t="s">
        <v>124</v>
      </c>
      <c r="F14" s="3" t="s">
        <v>136</v>
      </c>
      <c r="G14" s="4" t="s">
        <v>126</v>
      </c>
      <c r="H14" s="3" t="s">
        <v>31</v>
      </c>
      <c r="I14" s="3" t="s">
        <v>127</v>
      </c>
      <c r="J14" s="3" t="s">
        <v>128</v>
      </c>
      <c r="K14" s="3" t="s">
        <v>137</v>
      </c>
      <c r="L14" s="3" t="s">
        <v>138</v>
      </c>
      <c r="M14" s="3"/>
      <c r="N14" s="3" t="s">
        <v>36</v>
      </c>
      <c r="O14" s="3" t="s">
        <v>56</v>
      </c>
      <c r="P14" s="3" t="s">
        <v>139</v>
      </c>
      <c r="Q14" s="3" t="s">
        <v>39</v>
      </c>
      <c r="R14" s="3" t="s">
        <v>40</v>
      </c>
      <c r="S14" s="3" t="s">
        <v>122</v>
      </c>
      <c r="T14" s="3"/>
      <c r="U14" s="3" t="s">
        <v>133</v>
      </c>
      <c r="V14" s="3"/>
      <c r="W14" s="3" t="s">
        <v>42</v>
      </c>
      <c r="X14" s="3" t="s">
        <v>43</v>
      </c>
    </row>
    <row r="15" customFormat="false" ht="99.75" hidden="false" customHeight="true" outlineLevel="0" collapsed="false">
      <c r="A15" s="3" t="s">
        <v>140</v>
      </c>
      <c r="B15" s="3" t="s">
        <v>141</v>
      </c>
      <c r="C15" s="3" t="s">
        <v>26</v>
      </c>
      <c r="D15" s="3" t="s">
        <v>27</v>
      </c>
      <c r="E15" s="3" t="s">
        <v>124</v>
      </c>
      <c r="F15" s="3" t="s">
        <v>142</v>
      </c>
      <c r="G15" s="4" t="s">
        <v>126</v>
      </c>
      <c r="H15" s="3" t="s">
        <v>31</v>
      </c>
      <c r="I15" s="3" t="s">
        <v>143</v>
      </c>
      <c r="J15" s="3" t="s">
        <v>128</v>
      </c>
      <c r="K15" s="3" t="s">
        <v>144</v>
      </c>
      <c r="L15" s="3" t="s">
        <v>145</v>
      </c>
      <c r="M15" s="3"/>
      <c r="N15" s="3" t="s">
        <v>36</v>
      </c>
      <c r="O15" s="3" t="s">
        <v>56</v>
      </c>
      <c r="P15" s="3" t="s">
        <v>146</v>
      </c>
      <c r="Q15" s="3" t="s">
        <v>39</v>
      </c>
      <c r="R15" s="3" t="s">
        <v>40</v>
      </c>
      <c r="S15" s="3"/>
      <c r="T15" s="3"/>
      <c r="U15" s="3" t="s">
        <v>133</v>
      </c>
      <c r="V15" s="3"/>
      <c r="W15" s="3" t="s">
        <v>42</v>
      </c>
      <c r="X15" s="3" t="s">
        <v>43</v>
      </c>
    </row>
    <row r="16" customFormat="false" ht="99.75" hidden="false" customHeight="true" outlineLevel="0" collapsed="false">
      <c r="A16" s="3" t="s">
        <v>147</v>
      </c>
      <c r="B16" s="3" t="s">
        <v>148</v>
      </c>
      <c r="C16" s="3" t="s">
        <v>26</v>
      </c>
      <c r="D16" s="3" t="s">
        <v>27</v>
      </c>
      <c r="E16" s="3" t="s">
        <v>124</v>
      </c>
      <c r="F16" s="3" t="s">
        <v>149</v>
      </c>
      <c r="G16" s="4" t="s">
        <v>126</v>
      </c>
      <c r="H16" s="3" t="s">
        <v>31</v>
      </c>
      <c r="I16" s="3" t="s">
        <v>127</v>
      </c>
      <c r="J16" s="3" t="s">
        <v>128</v>
      </c>
      <c r="K16" s="3" t="s">
        <v>150</v>
      </c>
      <c r="L16" s="3" t="s">
        <v>151</v>
      </c>
      <c r="M16" s="3"/>
      <c r="N16" s="3" t="s">
        <v>36</v>
      </c>
      <c r="O16" s="3" t="s">
        <v>56</v>
      </c>
      <c r="P16" s="3" t="s">
        <v>152</v>
      </c>
      <c r="Q16" s="3" t="s">
        <v>39</v>
      </c>
      <c r="R16" s="3" t="s">
        <v>40</v>
      </c>
      <c r="S16" s="3"/>
      <c r="T16" s="3"/>
      <c r="U16" s="3" t="s">
        <v>133</v>
      </c>
      <c r="V16" s="3"/>
      <c r="W16" s="3" t="s">
        <v>42</v>
      </c>
      <c r="X16" s="3" t="s">
        <v>43</v>
      </c>
    </row>
    <row r="17" customFormat="false" ht="99.75" hidden="false" customHeight="true" outlineLevel="0" collapsed="false">
      <c r="A17" s="3" t="s">
        <v>153</v>
      </c>
      <c r="B17" s="3" t="s">
        <v>154</v>
      </c>
      <c r="C17" s="3" t="s">
        <v>26</v>
      </c>
      <c r="D17" s="3" t="s">
        <v>27</v>
      </c>
      <c r="E17" s="3" t="s">
        <v>124</v>
      </c>
      <c r="F17" s="3" t="s">
        <v>155</v>
      </c>
      <c r="G17" s="3" t="s">
        <v>126</v>
      </c>
      <c r="H17" s="3" t="s">
        <v>31</v>
      </c>
      <c r="I17" s="3" t="s">
        <v>127</v>
      </c>
      <c r="J17" s="3" t="s">
        <v>128</v>
      </c>
      <c r="K17" s="3" t="s">
        <v>156</v>
      </c>
      <c r="L17" s="3" t="s">
        <v>157</v>
      </c>
      <c r="M17" s="3"/>
      <c r="N17" s="3" t="s">
        <v>36</v>
      </c>
      <c r="O17" s="3" t="s">
        <v>94</v>
      </c>
      <c r="P17" s="3" t="s">
        <v>158</v>
      </c>
      <c r="Q17" s="3" t="s">
        <v>80</v>
      </c>
      <c r="R17" s="3" t="s">
        <v>40</v>
      </c>
      <c r="S17" s="3"/>
      <c r="T17" s="3"/>
      <c r="U17" s="3" t="s">
        <v>133</v>
      </c>
      <c r="V17" s="3"/>
      <c r="W17" s="3" t="s">
        <v>42</v>
      </c>
      <c r="X17" s="3" t="s">
        <v>43</v>
      </c>
    </row>
    <row r="18" customFormat="false" ht="99.75" hidden="false" customHeight="true" outlineLevel="0" collapsed="false">
      <c r="A18" s="3" t="s">
        <v>159</v>
      </c>
      <c r="B18" s="3" t="s">
        <v>160</v>
      </c>
      <c r="C18" s="3" t="s">
        <v>26</v>
      </c>
      <c r="D18" s="3" t="s">
        <v>27</v>
      </c>
      <c r="E18" s="3" t="s">
        <v>124</v>
      </c>
      <c r="F18" s="3" t="s">
        <v>161</v>
      </c>
      <c r="G18" s="4" t="s">
        <v>162</v>
      </c>
      <c r="H18" s="3" t="s">
        <v>31</v>
      </c>
      <c r="I18" s="3" t="s">
        <v>163</v>
      </c>
      <c r="J18" s="3" t="s">
        <v>128</v>
      </c>
      <c r="K18" s="3" t="s">
        <v>164</v>
      </c>
      <c r="L18" s="3" t="s">
        <v>165</v>
      </c>
      <c r="M18" s="3" t="s">
        <v>166</v>
      </c>
      <c r="N18" s="3" t="s">
        <v>103</v>
      </c>
      <c r="O18" s="3" t="s">
        <v>56</v>
      </c>
      <c r="P18" s="3" t="s">
        <v>167</v>
      </c>
      <c r="Q18" s="3" t="s">
        <v>39</v>
      </c>
      <c r="R18" s="3" t="s">
        <v>168</v>
      </c>
      <c r="S18" s="3"/>
      <c r="T18" s="3"/>
      <c r="U18" s="3" t="s">
        <v>169</v>
      </c>
      <c r="V18" s="3"/>
      <c r="W18" s="3" t="s">
        <v>42</v>
      </c>
      <c r="X18" s="3" t="s">
        <v>43</v>
      </c>
    </row>
    <row r="19" customFormat="false" ht="99.75" hidden="false" customHeight="true" outlineLevel="0" collapsed="false">
      <c r="A19" s="3" t="s">
        <v>170</v>
      </c>
      <c r="B19" s="3" t="s">
        <v>171</v>
      </c>
      <c r="C19" s="3" t="s">
        <v>26</v>
      </c>
      <c r="D19" s="3" t="s">
        <v>27</v>
      </c>
      <c r="E19" s="3" t="s">
        <v>124</v>
      </c>
      <c r="F19" s="3" t="s">
        <v>172</v>
      </c>
      <c r="G19" s="4" t="s">
        <v>162</v>
      </c>
      <c r="H19" s="3" t="s">
        <v>31</v>
      </c>
      <c r="I19" s="3" t="s">
        <v>163</v>
      </c>
      <c r="J19" s="3" t="s">
        <v>128</v>
      </c>
      <c r="K19" s="3" t="s">
        <v>173</v>
      </c>
      <c r="L19" s="3" t="s">
        <v>174</v>
      </c>
      <c r="M19" s="3" t="s">
        <v>166</v>
      </c>
      <c r="N19" s="3" t="s">
        <v>103</v>
      </c>
      <c r="O19" s="3" t="s">
        <v>56</v>
      </c>
      <c r="P19" s="3" t="s">
        <v>175</v>
      </c>
      <c r="Q19" s="3" t="s">
        <v>39</v>
      </c>
      <c r="R19" s="3" t="s">
        <v>176</v>
      </c>
      <c r="S19" s="3"/>
      <c r="T19" s="3"/>
      <c r="U19" s="3" t="s">
        <v>169</v>
      </c>
      <c r="V19" s="3"/>
      <c r="W19" s="3" t="s">
        <v>42</v>
      </c>
      <c r="X19" s="3" t="s">
        <v>43</v>
      </c>
    </row>
    <row r="20" customFormat="false" ht="99.75" hidden="false" customHeight="true" outlineLevel="0" collapsed="false">
      <c r="A20" s="3" t="s">
        <v>177</v>
      </c>
      <c r="B20" s="3" t="s">
        <v>178</v>
      </c>
      <c r="C20" s="3" t="s">
        <v>26</v>
      </c>
      <c r="D20" s="3" t="s">
        <v>27</v>
      </c>
      <c r="E20" s="3" t="s">
        <v>124</v>
      </c>
      <c r="F20" s="3" t="s">
        <v>179</v>
      </c>
      <c r="G20" s="4" t="s">
        <v>162</v>
      </c>
      <c r="H20" s="3" t="s">
        <v>31</v>
      </c>
      <c r="I20" s="3" t="s">
        <v>163</v>
      </c>
      <c r="J20" s="3" t="s">
        <v>128</v>
      </c>
      <c r="K20" s="3" t="s">
        <v>180</v>
      </c>
      <c r="L20" s="3" t="s">
        <v>181</v>
      </c>
      <c r="M20" s="3" t="s">
        <v>182</v>
      </c>
      <c r="N20" s="3" t="s">
        <v>103</v>
      </c>
      <c r="O20" s="3" t="s">
        <v>120</v>
      </c>
      <c r="P20" s="3" t="s">
        <v>183</v>
      </c>
      <c r="Q20" s="3" t="s">
        <v>39</v>
      </c>
      <c r="R20" s="3" t="s">
        <v>40</v>
      </c>
      <c r="S20" s="3" t="s">
        <v>170</v>
      </c>
      <c r="T20" s="3"/>
      <c r="U20" s="3" t="s">
        <v>169</v>
      </c>
      <c r="V20" s="3"/>
      <c r="W20" s="3" t="s">
        <v>42</v>
      </c>
      <c r="X20" s="3" t="s">
        <v>43</v>
      </c>
    </row>
    <row r="21" customFormat="false" ht="99.75" hidden="false" customHeight="true" outlineLevel="0" collapsed="false">
      <c r="A21" s="3" t="s">
        <v>184</v>
      </c>
      <c r="B21" s="3" t="s">
        <v>185</v>
      </c>
      <c r="C21" s="3" t="s">
        <v>26</v>
      </c>
      <c r="D21" s="3" t="s">
        <v>27</v>
      </c>
      <c r="E21" s="3" t="s">
        <v>124</v>
      </c>
      <c r="F21" s="3" t="s">
        <v>186</v>
      </c>
      <c r="G21" s="4" t="s">
        <v>162</v>
      </c>
      <c r="H21" s="3" t="s">
        <v>31</v>
      </c>
      <c r="I21" s="3" t="s">
        <v>163</v>
      </c>
      <c r="J21" s="3" t="s">
        <v>128</v>
      </c>
      <c r="K21" s="3" t="s">
        <v>187</v>
      </c>
      <c r="L21" s="3" t="s">
        <v>188</v>
      </c>
      <c r="M21" s="3"/>
      <c r="N21" s="3" t="s">
        <v>36</v>
      </c>
      <c r="O21" s="3" t="s">
        <v>56</v>
      </c>
      <c r="P21" s="3" t="s">
        <v>189</v>
      </c>
      <c r="Q21" s="3" t="s">
        <v>39</v>
      </c>
      <c r="R21" s="3" t="s">
        <v>190</v>
      </c>
      <c r="S21" s="3"/>
      <c r="T21" s="3"/>
      <c r="U21" s="3" t="s">
        <v>169</v>
      </c>
      <c r="V21" s="3"/>
      <c r="W21" s="3" t="s">
        <v>42</v>
      </c>
      <c r="X21" s="3" t="s">
        <v>43</v>
      </c>
    </row>
    <row r="22" customFormat="false" ht="99.75" hidden="false" customHeight="true" outlineLevel="0" collapsed="false">
      <c r="A22" s="3" t="s">
        <v>191</v>
      </c>
      <c r="B22" s="3" t="s">
        <v>192</v>
      </c>
      <c r="C22" s="3" t="s">
        <v>26</v>
      </c>
      <c r="D22" s="3" t="s">
        <v>27</v>
      </c>
      <c r="E22" s="3" t="s">
        <v>124</v>
      </c>
      <c r="F22" s="3" t="s">
        <v>193</v>
      </c>
      <c r="G22" s="4" t="s">
        <v>162</v>
      </c>
      <c r="H22" s="3" t="s">
        <v>31</v>
      </c>
      <c r="I22" s="3" t="s">
        <v>163</v>
      </c>
      <c r="J22" s="3" t="s">
        <v>128</v>
      </c>
      <c r="K22" s="3" t="s">
        <v>194</v>
      </c>
      <c r="L22" s="3" t="s">
        <v>195</v>
      </c>
      <c r="M22" s="3"/>
      <c r="N22" s="3" t="s">
        <v>36</v>
      </c>
      <c r="O22" s="3" t="s">
        <v>94</v>
      </c>
      <c r="P22" s="3" t="s">
        <v>196</v>
      </c>
      <c r="Q22" s="3" t="s">
        <v>39</v>
      </c>
      <c r="R22" s="3" t="s">
        <v>197</v>
      </c>
      <c r="S22" s="3"/>
      <c r="T22" s="3"/>
      <c r="U22" s="3" t="s">
        <v>198</v>
      </c>
      <c r="V22" s="3"/>
      <c r="W22" s="3" t="s">
        <v>42</v>
      </c>
      <c r="X22" s="3" t="s">
        <v>43</v>
      </c>
    </row>
    <row r="23" customFormat="false" ht="99.75" hidden="false" customHeight="true" outlineLevel="0" collapsed="false">
      <c r="A23" s="3" t="s">
        <v>199</v>
      </c>
      <c r="B23" s="3" t="s">
        <v>200</v>
      </c>
      <c r="C23" s="3" t="s">
        <v>26</v>
      </c>
      <c r="D23" s="3" t="s">
        <v>27</v>
      </c>
      <c r="E23" s="3" t="s">
        <v>124</v>
      </c>
      <c r="F23" s="3" t="s">
        <v>201</v>
      </c>
      <c r="G23" s="4" t="s">
        <v>202</v>
      </c>
      <c r="H23" s="3" t="s">
        <v>31</v>
      </c>
      <c r="I23" s="3" t="s">
        <v>127</v>
      </c>
      <c r="J23" s="3" t="s">
        <v>128</v>
      </c>
      <c r="K23" s="3" t="s">
        <v>203</v>
      </c>
      <c r="L23" s="3" t="s">
        <v>204</v>
      </c>
      <c r="M23" s="3"/>
      <c r="N23" s="3" t="s">
        <v>36</v>
      </c>
      <c r="O23" s="3" t="s">
        <v>56</v>
      </c>
      <c r="P23" s="3" t="s">
        <v>205</v>
      </c>
      <c r="Q23" s="3" t="s">
        <v>39</v>
      </c>
      <c r="R23" s="3" t="s">
        <v>40</v>
      </c>
      <c r="S23" s="3"/>
      <c r="T23" s="3"/>
      <c r="U23" s="3" t="s">
        <v>169</v>
      </c>
      <c r="V23" s="3"/>
      <c r="W23" s="3" t="s">
        <v>42</v>
      </c>
      <c r="X23" s="3" t="s">
        <v>43</v>
      </c>
    </row>
    <row r="24" customFormat="false" ht="99.75" hidden="false" customHeight="true" outlineLevel="0" collapsed="false">
      <c r="A24" s="3" t="s">
        <v>206</v>
      </c>
      <c r="B24" s="3" t="s">
        <v>207</v>
      </c>
      <c r="C24" s="3" t="s">
        <v>26</v>
      </c>
      <c r="D24" s="3" t="s">
        <v>27</v>
      </c>
      <c r="E24" s="3" t="s">
        <v>124</v>
      </c>
      <c r="F24" s="3" t="s">
        <v>208</v>
      </c>
      <c r="G24" s="4" t="s">
        <v>202</v>
      </c>
      <c r="H24" s="3" t="s">
        <v>31</v>
      </c>
      <c r="I24" s="3" t="s">
        <v>127</v>
      </c>
      <c r="J24" s="3" t="s">
        <v>128</v>
      </c>
      <c r="K24" s="3" t="s">
        <v>209</v>
      </c>
      <c r="L24" s="3" t="s">
        <v>210</v>
      </c>
      <c r="M24" s="3" t="s">
        <v>166</v>
      </c>
      <c r="N24" s="3" t="s">
        <v>103</v>
      </c>
      <c r="O24" s="3" t="s">
        <v>56</v>
      </c>
      <c r="P24" s="3" t="s">
        <v>211</v>
      </c>
      <c r="Q24" s="3" t="s">
        <v>39</v>
      </c>
      <c r="R24" s="3" t="s">
        <v>40</v>
      </c>
      <c r="S24" s="3" t="s">
        <v>199</v>
      </c>
      <c r="T24" s="3"/>
      <c r="U24" s="3" t="s">
        <v>169</v>
      </c>
      <c r="V24" s="3"/>
      <c r="W24" s="3" t="s">
        <v>42</v>
      </c>
      <c r="X24" s="3" t="s">
        <v>43</v>
      </c>
    </row>
    <row r="25" customFormat="false" ht="99.75" hidden="false" customHeight="true" outlineLevel="0" collapsed="false">
      <c r="A25" s="3" t="s">
        <v>212</v>
      </c>
      <c r="B25" s="3" t="s">
        <v>213</v>
      </c>
      <c r="C25" s="3" t="s">
        <v>26</v>
      </c>
      <c r="D25" s="3" t="s">
        <v>27</v>
      </c>
      <c r="E25" s="3" t="s">
        <v>124</v>
      </c>
      <c r="F25" s="3" t="s">
        <v>214</v>
      </c>
      <c r="G25" s="4" t="s">
        <v>202</v>
      </c>
      <c r="H25" s="3" t="s">
        <v>31</v>
      </c>
      <c r="I25" s="3" t="s">
        <v>127</v>
      </c>
      <c r="J25" s="3" t="s">
        <v>128</v>
      </c>
      <c r="K25" s="3" t="s">
        <v>203</v>
      </c>
      <c r="L25" s="3" t="s">
        <v>215</v>
      </c>
      <c r="M25" s="3"/>
      <c r="N25" s="3" t="s">
        <v>36</v>
      </c>
      <c r="O25" s="3" t="s">
        <v>56</v>
      </c>
      <c r="P25" s="3" t="s">
        <v>216</v>
      </c>
      <c r="Q25" s="3" t="s">
        <v>39</v>
      </c>
      <c r="R25" s="3" t="s">
        <v>40</v>
      </c>
      <c r="S25" s="3" t="s">
        <v>199</v>
      </c>
      <c r="T25" s="3"/>
      <c r="U25" s="5" t="n">
        <v>45600</v>
      </c>
      <c r="V25" s="3"/>
      <c r="W25" s="3" t="s">
        <v>106</v>
      </c>
      <c r="X25" s="3" t="s">
        <v>43</v>
      </c>
    </row>
    <row r="26" customFormat="false" ht="99.75" hidden="false" customHeight="true" outlineLevel="0" collapsed="false">
      <c r="A26" s="3" t="s">
        <v>217</v>
      </c>
      <c r="B26" s="3" t="s">
        <v>218</v>
      </c>
      <c r="C26" s="3" t="s">
        <v>26</v>
      </c>
      <c r="D26" s="3" t="s">
        <v>27</v>
      </c>
      <c r="E26" s="3" t="s">
        <v>124</v>
      </c>
      <c r="F26" s="3" t="s">
        <v>219</v>
      </c>
      <c r="G26" s="4" t="s">
        <v>202</v>
      </c>
      <c r="H26" s="3" t="s">
        <v>31</v>
      </c>
      <c r="I26" s="3" t="s">
        <v>127</v>
      </c>
      <c r="J26" s="3" t="s">
        <v>128</v>
      </c>
      <c r="K26" s="3" t="s">
        <v>220</v>
      </c>
      <c r="L26" s="3" t="s">
        <v>221</v>
      </c>
      <c r="M26" s="3"/>
      <c r="N26" s="3" t="s">
        <v>36</v>
      </c>
      <c r="O26" s="3" t="s">
        <v>56</v>
      </c>
      <c r="P26" s="3" t="s">
        <v>222</v>
      </c>
      <c r="Q26" s="3" t="s">
        <v>39</v>
      </c>
      <c r="R26" s="3" t="s">
        <v>40</v>
      </c>
      <c r="S26" s="3"/>
      <c r="T26" s="3"/>
      <c r="U26" s="3" t="s">
        <v>169</v>
      </c>
      <c r="V26" s="3"/>
      <c r="W26" s="3" t="s">
        <v>42</v>
      </c>
      <c r="X26" s="3" t="s">
        <v>43</v>
      </c>
    </row>
    <row r="27" customFormat="false" ht="99.75" hidden="false" customHeight="true" outlineLevel="0" collapsed="false">
      <c r="A27" s="3" t="s">
        <v>223</v>
      </c>
      <c r="B27" s="3" t="s">
        <v>224</v>
      </c>
      <c r="C27" s="3" t="s">
        <v>26</v>
      </c>
      <c r="D27" s="3" t="s">
        <v>27</v>
      </c>
      <c r="E27" s="3" t="s">
        <v>124</v>
      </c>
      <c r="F27" s="3" t="s">
        <v>225</v>
      </c>
      <c r="G27" s="4" t="s">
        <v>202</v>
      </c>
      <c r="H27" s="3" t="s">
        <v>31</v>
      </c>
      <c r="I27" s="3" t="s">
        <v>127</v>
      </c>
      <c r="J27" s="3" t="s">
        <v>128</v>
      </c>
      <c r="K27" s="3" t="s">
        <v>226</v>
      </c>
      <c r="L27" s="3" t="s">
        <v>227</v>
      </c>
      <c r="M27" s="3"/>
      <c r="N27" s="3" t="s">
        <v>36</v>
      </c>
      <c r="O27" s="3" t="s">
        <v>120</v>
      </c>
      <c r="P27" s="3" t="s">
        <v>228</v>
      </c>
      <c r="Q27" s="3" t="s">
        <v>39</v>
      </c>
      <c r="R27" s="3" t="s">
        <v>40</v>
      </c>
      <c r="S27" s="3"/>
      <c r="T27" s="3"/>
      <c r="U27" s="3" t="s">
        <v>169</v>
      </c>
      <c r="V27" s="3"/>
      <c r="W27" s="3" t="s">
        <v>42</v>
      </c>
      <c r="X27" s="3" t="s">
        <v>43</v>
      </c>
    </row>
    <row r="28" customFormat="false" ht="99.75" hidden="false" customHeight="true" outlineLevel="0" collapsed="false">
      <c r="A28" s="3" t="s">
        <v>229</v>
      </c>
      <c r="B28" s="3" t="s">
        <v>230</v>
      </c>
      <c r="C28" s="3" t="s">
        <v>26</v>
      </c>
      <c r="D28" s="3" t="s">
        <v>27</v>
      </c>
      <c r="E28" s="3" t="s">
        <v>124</v>
      </c>
      <c r="F28" s="3" t="s">
        <v>231</v>
      </c>
      <c r="G28" s="4" t="s">
        <v>202</v>
      </c>
      <c r="H28" s="3" t="s">
        <v>31</v>
      </c>
      <c r="I28" s="3" t="s">
        <v>127</v>
      </c>
      <c r="J28" s="3" t="s">
        <v>128</v>
      </c>
      <c r="K28" s="3" t="s">
        <v>232</v>
      </c>
      <c r="L28" s="3" t="s">
        <v>233</v>
      </c>
      <c r="M28" s="3"/>
      <c r="N28" s="3" t="s">
        <v>36</v>
      </c>
      <c r="O28" s="3" t="s">
        <v>56</v>
      </c>
      <c r="P28" s="3" t="s">
        <v>234</v>
      </c>
      <c r="Q28" s="3" t="s">
        <v>39</v>
      </c>
      <c r="R28" s="3" t="s">
        <v>40</v>
      </c>
      <c r="S28" s="3" t="s">
        <v>199</v>
      </c>
      <c r="T28" s="3"/>
      <c r="U28" s="3" t="s">
        <v>235</v>
      </c>
      <c r="V28" s="3"/>
      <c r="W28" s="3" t="s">
        <v>42</v>
      </c>
      <c r="X28" s="3" t="s">
        <v>43</v>
      </c>
    </row>
    <row r="29" customFormat="false" ht="99.75" hidden="false" customHeight="true" outlineLevel="0" collapsed="false">
      <c r="A29" s="3" t="s">
        <v>236</v>
      </c>
      <c r="B29" s="3" t="s">
        <v>237</v>
      </c>
      <c r="C29" s="3" t="s">
        <v>26</v>
      </c>
      <c r="D29" s="3" t="s">
        <v>27</v>
      </c>
      <c r="E29" s="3" t="s">
        <v>124</v>
      </c>
      <c r="F29" s="3" t="s">
        <v>238</v>
      </c>
      <c r="G29" s="4" t="s">
        <v>239</v>
      </c>
      <c r="H29" s="3" t="s">
        <v>31</v>
      </c>
      <c r="I29" s="3" t="s">
        <v>127</v>
      </c>
      <c r="J29" s="3" t="s">
        <v>128</v>
      </c>
      <c r="K29" s="3" t="s">
        <v>240</v>
      </c>
      <c r="L29" s="3" t="s">
        <v>241</v>
      </c>
      <c r="M29" s="3"/>
      <c r="N29" s="3" t="s">
        <v>36</v>
      </c>
      <c r="O29" s="3" t="s">
        <v>56</v>
      </c>
      <c r="P29" s="3" t="s">
        <v>242</v>
      </c>
      <c r="Q29" s="3" t="s">
        <v>50</v>
      </c>
      <c r="R29" s="3" t="s">
        <v>40</v>
      </c>
      <c r="S29" s="3"/>
      <c r="T29" s="3"/>
      <c r="U29" s="3" t="s">
        <v>169</v>
      </c>
      <c r="V29" s="3"/>
      <c r="W29" s="3" t="s">
        <v>42</v>
      </c>
      <c r="X29" s="3" t="s">
        <v>43</v>
      </c>
    </row>
    <row r="30" customFormat="false" ht="99.75" hidden="false" customHeight="true" outlineLevel="0" collapsed="false">
      <c r="A30" s="3" t="s">
        <v>243</v>
      </c>
      <c r="B30" s="3" t="s">
        <v>244</v>
      </c>
      <c r="C30" s="3" t="s">
        <v>26</v>
      </c>
      <c r="D30" s="3" t="s">
        <v>27</v>
      </c>
      <c r="E30" s="3" t="s">
        <v>124</v>
      </c>
      <c r="F30" s="3" t="s">
        <v>245</v>
      </c>
      <c r="G30" s="4" t="s">
        <v>246</v>
      </c>
      <c r="H30" s="3" t="s">
        <v>31</v>
      </c>
      <c r="I30" s="3" t="s">
        <v>127</v>
      </c>
      <c r="J30" s="3" t="s">
        <v>128</v>
      </c>
      <c r="K30" s="3" t="s">
        <v>247</v>
      </c>
      <c r="L30" s="3" t="s">
        <v>248</v>
      </c>
      <c r="M30" s="3"/>
      <c r="N30" s="3" t="s">
        <v>36</v>
      </c>
      <c r="O30" s="3" t="s">
        <v>249</v>
      </c>
      <c r="P30" s="3" t="s">
        <v>250</v>
      </c>
      <c r="Q30" s="3" t="s">
        <v>39</v>
      </c>
      <c r="R30" s="3" t="s">
        <v>40</v>
      </c>
      <c r="S30" s="3"/>
      <c r="T30" s="3"/>
      <c r="U30" s="3" t="s">
        <v>169</v>
      </c>
      <c r="V30" s="3"/>
      <c r="W30" s="3" t="s">
        <v>42</v>
      </c>
      <c r="X30" s="3" t="s">
        <v>43</v>
      </c>
    </row>
    <row r="31" customFormat="false" ht="99.75" hidden="false" customHeight="true" outlineLevel="0" collapsed="false">
      <c r="A31" s="3" t="s">
        <v>251</v>
      </c>
      <c r="B31" s="3" t="s">
        <v>252</v>
      </c>
      <c r="C31" s="3" t="s">
        <v>26</v>
      </c>
      <c r="D31" s="3" t="s">
        <v>27</v>
      </c>
      <c r="E31" s="3" t="s">
        <v>253</v>
      </c>
      <c r="F31" s="3" t="s">
        <v>254</v>
      </c>
      <c r="G31" s="4" t="s">
        <v>255</v>
      </c>
      <c r="H31" s="3" t="s">
        <v>31</v>
      </c>
      <c r="I31" s="3" t="s">
        <v>163</v>
      </c>
      <c r="J31" s="3" t="s">
        <v>128</v>
      </c>
      <c r="K31" s="3" t="s">
        <v>256</v>
      </c>
      <c r="L31" s="3" t="s">
        <v>257</v>
      </c>
      <c r="M31" s="3"/>
      <c r="N31" s="3" t="s">
        <v>36</v>
      </c>
      <c r="O31" s="3" t="s">
        <v>37</v>
      </c>
      <c r="P31" s="3" t="s">
        <v>258</v>
      </c>
      <c r="Q31" s="3" t="s">
        <v>50</v>
      </c>
      <c r="R31" s="3" t="s">
        <v>259</v>
      </c>
      <c r="S31" s="3"/>
      <c r="T31" s="3"/>
      <c r="U31" s="3" t="s">
        <v>260</v>
      </c>
      <c r="V31" s="3"/>
      <c r="W31" s="3" t="s">
        <v>42</v>
      </c>
      <c r="X31" s="3" t="s">
        <v>43</v>
      </c>
    </row>
    <row r="32" customFormat="false" ht="99.75" hidden="false" customHeight="true" outlineLevel="0" collapsed="false">
      <c r="A32" s="3" t="s">
        <v>261</v>
      </c>
      <c r="B32" s="3" t="s">
        <v>262</v>
      </c>
      <c r="C32" s="3" t="s">
        <v>26</v>
      </c>
      <c r="D32" s="3" t="s">
        <v>27</v>
      </c>
      <c r="E32" s="3" t="s">
        <v>253</v>
      </c>
      <c r="F32" s="3" t="s">
        <v>263</v>
      </c>
      <c r="G32" s="4" t="s">
        <v>264</v>
      </c>
      <c r="H32" s="3" t="s">
        <v>31</v>
      </c>
      <c r="I32" s="3" t="s">
        <v>265</v>
      </c>
      <c r="J32" s="3" t="s">
        <v>128</v>
      </c>
      <c r="K32" s="3" t="s">
        <v>266</v>
      </c>
      <c r="L32" s="3" t="s">
        <v>267</v>
      </c>
      <c r="M32" s="3" t="s">
        <v>268</v>
      </c>
      <c r="N32" s="3" t="s">
        <v>71</v>
      </c>
      <c r="O32" s="3" t="s">
        <v>269</v>
      </c>
      <c r="P32" s="3" t="s">
        <v>270</v>
      </c>
      <c r="Q32" s="3" t="s">
        <v>39</v>
      </c>
      <c r="R32" s="3" t="s">
        <v>271</v>
      </c>
      <c r="S32" s="3"/>
      <c r="T32" s="3"/>
      <c r="U32" s="3" t="s">
        <v>272</v>
      </c>
      <c r="V32" s="3"/>
      <c r="W32" s="3" t="s">
        <v>106</v>
      </c>
      <c r="X32" s="3" t="s">
        <v>43</v>
      </c>
    </row>
    <row r="33" customFormat="false" ht="99.75" hidden="false" customHeight="true" outlineLevel="0" collapsed="false">
      <c r="A33" s="3" t="s">
        <v>273</v>
      </c>
      <c r="B33" s="3" t="s">
        <v>274</v>
      </c>
      <c r="C33" s="3" t="s">
        <v>26</v>
      </c>
      <c r="D33" s="3" t="s">
        <v>27</v>
      </c>
      <c r="E33" s="3" t="s">
        <v>253</v>
      </c>
      <c r="F33" s="3" t="s">
        <v>275</v>
      </c>
      <c r="G33" s="4" t="s">
        <v>276</v>
      </c>
      <c r="H33" s="3" t="s">
        <v>31</v>
      </c>
      <c r="I33" s="3" t="s">
        <v>163</v>
      </c>
      <c r="J33" s="3" t="s">
        <v>128</v>
      </c>
      <c r="K33" s="3" t="s">
        <v>277</v>
      </c>
      <c r="L33" s="3" t="s">
        <v>278</v>
      </c>
      <c r="M33" s="3" t="s">
        <v>268</v>
      </c>
      <c r="N33" s="3" t="s">
        <v>71</v>
      </c>
      <c r="O33" s="3" t="s">
        <v>269</v>
      </c>
      <c r="P33" s="3" t="s">
        <v>279</v>
      </c>
      <c r="Q33" s="3" t="s">
        <v>39</v>
      </c>
      <c r="R33" s="3" t="s">
        <v>280</v>
      </c>
      <c r="S33" s="3"/>
      <c r="T33" s="3"/>
      <c r="U33" s="3" t="s">
        <v>272</v>
      </c>
      <c r="V33" s="3"/>
      <c r="W33" s="3" t="s">
        <v>106</v>
      </c>
      <c r="X33" s="3" t="s">
        <v>43</v>
      </c>
    </row>
    <row r="34" customFormat="false" ht="99.75" hidden="false" customHeight="true" outlineLevel="0" collapsed="false">
      <c r="A34" s="3" t="s">
        <v>281</v>
      </c>
      <c r="B34" s="3" t="s">
        <v>282</v>
      </c>
      <c r="C34" s="3" t="s">
        <v>26</v>
      </c>
      <c r="D34" s="3" t="s">
        <v>27</v>
      </c>
      <c r="E34" s="3" t="s">
        <v>253</v>
      </c>
      <c r="F34" s="3" t="s">
        <v>283</v>
      </c>
      <c r="G34" s="4" t="s">
        <v>284</v>
      </c>
      <c r="H34" s="3" t="s">
        <v>31</v>
      </c>
      <c r="I34" s="3" t="s">
        <v>163</v>
      </c>
      <c r="J34" s="3" t="s">
        <v>128</v>
      </c>
      <c r="K34" s="3" t="s">
        <v>285</v>
      </c>
      <c r="L34" s="3" t="s">
        <v>286</v>
      </c>
      <c r="M34" s="3"/>
      <c r="N34" s="3" t="s">
        <v>36</v>
      </c>
      <c r="O34" s="3" t="s">
        <v>56</v>
      </c>
      <c r="P34" s="3" t="s">
        <v>287</v>
      </c>
      <c r="Q34" s="3" t="s">
        <v>39</v>
      </c>
      <c r="R34" s="3" t="s">
        <v>40</v>
      </c>
      <c r="S34" s="3"/>
      <c r="T34" s="3"/>
      <c r="U34" s="3" t="s">
        <v>288</v>
      </c>
      <c r="V34" s="3"/>
      <c r="W34" s="3" t="s">
        <v>42</v>
      </c>
      <c r="X34" s="3" t="s">
        <v>43</v>
      </c>
    </row>
    <row r="35" customFormat="false" ht="99.75" hidden="false" customHeight="true" outlineLevel="0" collapsed="false">
      <c r="A35" s="3" t="s">
        <v>289</v>
      </c>
      <c r="B35" s="3" t="s">
        <v>290</v>
      </c>
      <c r="C35" s="3" t="s">
        <v>26</v>
      </c>
      <c r="D35" s="3" t="s">
        <v>27</v>
      </c>
      <c r="E35" s="3" t="s">
        <v>253</v>
      </c>
      <c r="F35" s="3" t="s">
        <v>291</v>
      </c>
      <c r="G35" s="4" t="s">
        <v>292</v>
      </c>
      <c r="H35" s="3" t="s">
        <v>31</v>
      </c>
      <c r="I35" s="3" t="s">
        <v>265</v>
      </c>
      <c r="J35" s="3" t="s">
        <v>128</v>
      </c>
      <c r="K35" s="3" t="s">
        <v>293</v>
      </c>
      <c r="L35" s="3" t="s">
        <v>294</v>
      </c>
      <c r="M35" s="3" t="s">
        <v>295</v>
      </c>
      <c r="N35" s="3" t="s">
        <v>103</v>
      </c>
      <c r="O35" s="3" t="s">
        <v>56</v>
      </c>
      <c r="P35" s="3" t="s">
        <v>296</v>
      </c>
      <c r="Q35" s="3" t="s">
        <v>39</v>
      </c>
      <c r="R35" s="3" t="s">
        <v>297</v>
      </c>
      <c r="S35" s="3"/>
      <c r="T35" s="3"/>
      <c r="U35" s="3" t="s">
        <v>298</v>
      </c>
      <c r="V35" s="3"/>
      <c r="W35" s="3" t="s">
        <v>42</v>
      </c>
      <c r="X35" s="3" t="s">
        <v>43</v>
      </c>
    </row>
    <row r="36" customFormat="false" ht="99.75" hidden="false" customHeight="true" outlineLevel="0" collapsed="false">
      <c r="A36" s="3" t="s">
        <v>299</v>
      </c>
      <c r="B36" s="3" t="s">
        <v>300</v>
      </c>
      <c r="C36" s="3" t="s">
        <v>26</v>
      </c>
      <c r="D36" s="3" t="s">
        <v>27</v>
      </c>
      <c r="E36" s="3" t="s">
        <v>253</v>
      </c>
      <c r="F36" s="3" t="s">
        <v>301</v>
      </c>
      <c r="G36" s="4" t="s">
        <v>302</v>
      </c>
      <c r="H36" s="3" t="s">
        <v>31</v>
      </c>
      <c r="I36" s="3" t="s">
        <v>163</v>
      </c>
      <c r="J36" s="3" t="s">
        <v>128</v>
      </c>
      <c r="K36" s="3" t="s">
        <v>303</v>
      </c>
      <c r="L36" s="3" t="s">
        <v>304</v>
      </c>
      <c r="M36" s="3"/>
      <c r="N36" s="3" t="s">
        <v>36</v>
      </c>
      <c r="O36" s="3" t="s">
        <v>56</v>
      </c>
      <c r="P36" s="3" t="s">
        <v>305</v>
      </c>
      <c r="Q36" s="3" t="s">
        <v>39</v>
      </c>
      <c r="R36" s="3" t="s">
        <v>306</v>
      </c>
      <c r="S36" s="3"/>
      <c r="T36" s="3"/>
      <c r="U36" s="3" t="s">
        <v>298</v>
      </c>
      <c r="V36" s="3"/>
      <c r="W36" s="3" t="s">
        <v>42</v>
      </c>
      <c r="X36" s="3" t="s">
        <v>43</v>
      </c>
    </row>
    <row r="37" customFormat="false" ht="99.75" hidden="false" customHeight="true" outlineLevel="0" collapsed="false">
      <c r="A37" s="3" t="s">
        <v>307</v>
      </c>
      <c r="B37" s="3" t="s">
        <v>308</v>
      </c>
      <c r="C37" s="3" t="s">
        <v>26</v>
      </c>
      <c r="D37" s="3" t="s">
        <v>27</v>
      </c>
      <c r="E37" s="3" t="s">
        <v>253</v>
      </c>
      <c r="F37" s="3" t="s">
        <v>309</v>
      </c>
      <c r="G37" s="4" t="s">
        <v>310</v>
      </c>
      <c r="H37" s="3" t="s">
        <v>31</v>
      </c>
      <c r="I37" s="3" t="s">
        <v>127</v>
      </c>
      <c r="J37" s="3" t="s">
        <v>128</v>
      </c>
      <c r="K37" s="3" t="s">
        <v>311</v>
      </c>
      <c r="L37" s="3" t="s">
        <v>312</v>
      </c>
      <c r="M37" s="3"/>
      <c r="N37" s="3" t="s">
        <v>36</v>
      </c>
      <c r="O37" s="3" t="s">
        <v>56</v>
      </c>
      <c r="P37" s="3" t="s">
        <v>313</v>
      </c>
      <c r="Q37" s="3" t="s">
        <v>50</v>
      </c>
      <c r="R37" s="3" t="s">
        <v>40</v>
      </c>
      <c r="S37" s="3"/>
      <c r="T37" s="3"/>
      <c r="U37" s="3" t="s">
        <v>298</v>
      </c>
      <c r="V37" s="3"/>
      <c r="W37" s="3" t="s">
        <v>42</v>
      </c>
      <c r="X37" s="3" t="s">
        <v>43</v>
      </c>
    </row>
    <row r="38" customFormat="false" ht="99.75" hidden="false" customHeight="true" outlineLevel="0" collapsed="false">
      <c r="A38" s="3" t="s">
        <v>314</v>
      </c>
      <c r="B38" s="3" t="s">
        <v>315</v>
      </c>
      <c r="C38" s="3" t="s">
        <v>26</v>
      </c>
      <c r="D38" s="3" t="s">
        <v>27</v>
      </c>
      <c r="E38" s="3" t="s">
        <v>253</v>
      </c>
      <c r="F38" s="3" t="s">
        <v>316</v>
      </c>
      <c r="G38" s="4" t="s">
        <v>317</v>
      </c>
      <c r="H38" s="3" t="s">
        <v>31</v>
      </c>
      <c r="I38" s="3" t="s">
        <v>127</v>
      </c>
      <c r="J38" s="3" t="s">
        <v>128</v>
      </c>
      <c r="K38" s="3" t="s">
        <v>318</v>
      </c>
      <c r="L38" s="3" t="s">
        <v>319</v>
      </c>
      <c r="M38" s="3" t="s">
        <v>320</v>
      </c>
      <c r="N38" s="3" t="s">
        <v>103</v>
      </c>
      <c r="O38" s="3" t="s">
        <v>56</v>
      </c>
      <c r="P38" s="3" t="s">
        <v>321</v>
      </c>
      <c r="Q38" s="3" t="s">
        <v>39</v>
      </c>
      <c r="R38" s="3" t="s">
        <v>322</v>
      </c>
      <c r="S38" s="3"/>
      <c r="T38" s="3"/>
      <c r="U38" s="3" t="s">
        <v>298</v>
      </c>
      <c r="V38" s="3"/>
      <c r="W38" s="3" t="s">
        <v>42</v>
      </c>
      <c r="X38" s="3" t="s">
        <v>43</v>
      </c>
    </row>
    <row r="39" customFormat="false" ht="99.75" hidden="false" customHeight="true" outlineLevel="0" collapsed="false">
      <c r="A39" s="3" t="s">
        <v>323</v>
      </c>
      <c r="B39" s="3" t="s">
        <v>324</v>
      </c>
      <c r="C39" s="3" t="s">
        <v>26</v>
      </c>
      <c r="D39" s="3" t="s">
        <v>27</v>
      </c>
      <c r="E39" s="3" t="s">
        <v>253</v>
      </c>
      <c r="F39" s="3" t="s">
        <v>325</v>
      </c>
      <c r="G39" s="4" t="s">
        <v>326</v>
      </c>
      <c r="H39" s="3" t="s">
        <v>31</v>
      </c>
      <c r="I39" s="3" t="s">
        <v>127</v>
      </c>
      <c r="J39" s="3" t="s">
        <v>128</v>
      </c>
      <c r="K39" s="3" t="s">
        <v>327</v>
      </c>
      <c r="L39" s="3" t="s">
        <v>328</v>
      </c>
      <c r="M39" s="3"/>
      <c r="N39" s="3" t="s">
        <v>36</v>
      </c>
      <c r="O39" s="3" t="s">
        <v>56</v>
      </c>
      <c r="P39" s="3" t="s">
        <v>329</v>
      </c>
      <c r="Q39" s="3" t="s">
        <v>50</v>
      </c>
      <c r="R39" s="3" t="s">
        <v>40</v>
      </c>
      <c r="S39" s="3"/>
      <c r="T39" s="3"/>
      <c r="U39" s="3" t="s">
        <v>298</v>
      </c>
      <c r="V39" s="3"/>
      <c r="W39" s="3" t="s">
        <v>42</v>
      </c>
      <c r="X39" s="3" t="s">
        <v>43</v>
      </c>
    </row>
    <row r="40" customFormat="false" ht="99.75" hidden="false" customHeight="true" outlineLevel="0" collapsed="false">
      <c r="A40" s="3" t="s">
        <v>330</v>
      </c>
      <c r="B40" s="3" t="s">
        <v>331</v>
      </c>
      <c r="C40" s="3" t="s">
        <v>26</v>
      </c>
      <c r="D40" s="3" t="s">
        <v>27</v>
      </c>
      <c r="E40" s="3" t="s">
        <v>253</v>
      </c>
      <c r="F40" s="3" t="s">
        <v>332</v>
      </c>
      <c r="G40" s="4" t="s">
        <v>333</v>
      </c>
      <c r="H40" s="3" t="s">
        <v>31</v>
      </c>
      <c r="I40" s="3" t="s">
        <v>127</v>
      </c>
      <c r="J40" s="3" t="s">
        <v>128</v>
      </c>
      <c r="K40" s="3" t="s">
        <v>334</v>
      </c>
      <c r="L40" s="3" t="s">
        <v>335</v>
      </c>
      <c r="M40" s="3" t="s">
        <v>295</v>
      </c>
      <c r="N40" s="3" t="s">
        <v>103</v>
      </c>
      <c r="O40" s="3" t="s">
        <v>120</v>
      </c>
      <c r="P40" s="3" t="s">
        <v>336</v>
      </c>
      <c r="Q40" s="3" t="s">
        <v>39</v>
      </c>
      <c r="R40" s="3" t="s">
        <v>40</v>
      </c>
      <c r="S40" s="3"/>
      <c r="T40" s="3"/>
      <c r="U40" s="3" t="s">
        <v>298</v>
      </c>
      <c r="V40" s="3"/>
      <c r="W40" s="3" t="s">
        <v>106</v>
      </c>
      <c r="X40" s="3" t="s">
        <v>43</v>
      </c>
    </row>
    <row r="41" customFormat="false" ht="99.75" hidden="false" customHeight="true" outlineLevel="0" collapsed="false">
      <c r="A41" s="3" t="s">
        <v>337</v>
      </c>
      <c r="B41" s="3" t="s">
        <v>338</v>
      </c>
      <c r="C41" s="3" t="s">
        <v>26</v>
      </c>
      <c r="D41" s="3" t="s">
        <v>27</v>
      </c>
      <c r="E41" s="3" t="s">
        <v>339</v>
      </c>
      <c r="F41" s="3" t="s">
        <v>340</v>
      </c>
      <c r="G41" s="4" t="s">
        <v>341</v>
      </c>
      <c r="H41" s="3" t="s">
        <v>31</v>
      </c>
      <c r="I41" s="3" t="s">
        <v>342</v>
      </c>
      <c r="J41" s="3" t="s">
        <v>128</v>
      </c>
      <c r="K41" s="3" t="s">
        <v>343</v>
      </c>
      <c r="L41" s="3" t="s">
        <v>344</v>
      </c>
      <c r="M41" s="3"/>
      <c r="N41" s="3" t="s">
        <v>36</v>
      </c>
      <c r="O41" s="3" t="s">
        <v>56</v>
      </c>
      <c r="P41" s="3" t="s">
        <v>345</v>
      </c>
      <c r="Q41" s="3" t="s">
        <v>39</v>
      </c>
      <c r="R41" s="3" t="s">
        <v>40</v>
      </c>
      <c r="S41" s="3"/>
      <c r="T41" s="3"/>
      <c r="U41" s="3" t="s">
        <v>346</v>
      </c>
      <c r="V41" s="3"/>
      <c r="W41" s="3" t="s">
        <v>42</v>
      </c>
      <c r="X41" s="3" t="s">
        <v>97</v>
      </c>
    </row>
    <row r="42" customFormat="false" ht="99.75" hidden="false" customHeight="true" outlineLevel="0" collapsed="false">
      <c r="A42" s="3" t="s">
        <v>347</v>
      </c>
      <c r="B42" s="3" t="s">
        <v>348</v>
      </c>
      <c r="C42" s="3" t="s">
        <v>26</v>
      </c>
      <c r="D42" s="3" t="s">
        <v>27</v>
      </c>
      <c r="E42" s="3" t="s">
        <v>339</v>
      </c>
      <c r="F42" s="3" t="s">
        <v>349</v>
      </c>
      <c r="G42" s="4" t="s">
        <v>341</v>
      </c>
      <c r="H42" s="3" t="s">
        <v>31</v>
      </c>
      <c r="I42" s="3" t="s">
        <v>342</v>
      </c>
      <c r="J42" s="3" t="s">
        <v>128</v>
      </c>
      <c r="K42" s="3" t="s">
        <v>343</v>
      </c>
      <c r="L42" s="3" t="s">
        <v>350</v>
      </c>
      <c r="M42" s="3"/>
      <c r="N42" s="3" t="s">
        <v>36</v>
      </c>
      <c r="O42" s="3" t="s">
        <v>56</v>
      </c>
      <c r="P42" s="3" t="s">
        <v>351</v>
      </c>
      <c r="Q42" s="3" t="s">
        <v>39</v>
      </c>
      <c r="R42" s="3" t="s">
        <v>40</v>
      </c>
      <c r="S42" s="3" t="s">
        <v>122</v>
      </c>
      <c r="T42" s="3"/>
      <c r="U42" s="3" t="s">
        <v>346</v>
      </c>
      <c r="V42" s="3"/>
      <c r="W42" s="3" t="s">
        <v>42</v>
      </c>
      <c r="X42" s="3" t="s">
        <v>97</v>
      </c>
    </row>
    <row r="43" customFormat="false" ht="99.75" hidden="false" customHeight="true" outlineLevel="0" collapsed="false">
      <c r="A43" s="3" t="s">
        <v>352</v>
      </c>
      <c r="B43" s="3" t="s">
        <v>353</v>
      </c>
      <c r="C43" s="3" t="s">
        <v>26</v>
      </c>
      <c r="D43" s="3" t="s">
        <v>27</v>
      </c>
      <c r="E43" s="3" t="s">
        <v>339</v>
      </c>
      <c r="F43" s="3" t="s">
        <v>354</v>
      </c>
      <c r="G43" s="4" t="s">
        <v>341</v>
      </c>
      <c r="H43" s="3" t="s">
        <v>31</v>
      </c>
      <c r="I43" s="3" t="s">
        <v>342</v>
      </c>
      <c r="J43" s="3" t="s">
        <v>128</v>
      </c>
      <c r="K43" s="3" t="s">
        <v>355</v>
      </c>
      <c r="L43" s="3" t="s">
        <v>356</v>
      </c>
      <c r="M43" s="3"/>
      <c r="N43" s="3" t="s">
        <v>36</v>
      </c>
      <c r="O43" s="3" t="s">
        <v>56</v>
      </c>
      <c r="P43" s="3" t="s">
        <v>357</v>
      </c>
      <c r="Q43" s="3" t="s">
        <v>39</v>
      </c>
      <c r="R43" s="3" t="s">
        <v>358</v>
      </c>
      <c r="S43" s="3"/>
      <c r="T43" s="3"/>
      <c r="U43" s="3" t="s">
        <v>346</v>
      </c>
      <c r="V43" s="3"/>
      <c r="W43" s="3" t="s">
        <v>42</v>
      </c>
      <c r="X43" s="3" t="s">
        <v>97</v>
      </c>
    </row>
    <row r="44" customFormat="false" ht="99.75" hidden="false" customHeight="true" outlineLevel="0" collapsed="false">
      <c r="A44" s="3" t="s">
        <v>359</v>
      </c>
      <c r="B44" s="3" t="s">
        <v>360</v>
      </c>
      <c r="C44" s="3" t="s">
        <v>26</v>
      </c>
      <c r="D44" s="3" t="s">
        <v>27</v>
      </c>
      <c r="E44" s="3" t="s">
        <v>339</v>
      </c>
      <c r="F44" s="3" t="s">
        <v>361</v>
      </c>
      <c r="G44" s="4" t="s">
        <v>341</v>
      </c>
      <c r="H44" s="3" t="s">
        <v>31</v>
      </c>
      <c r="I44" s="3" t="s">
        <v>342</v>
      </c>
      <c r="J44" s="3" t="s">
        <v>128</v>
      </c>
      <c r="K44" s="3" t="s">
        <v>362</v>
      </c>
      <c r="L44" s="3" t="s">
        <v>363</v>
      </c>
      <c r="M44" s="3"/>
      <c r="N44" s="3" t="s">
        <v>36</v>
      </c>
      <c r="O44" s="3" t="s">
        <v>56</v>
      </c>
      <c r="P44" s="3" t="s">
        <v>364</v>
      </c>
      <c r="Q44" s="3" t="s">
        <v>39</v>
      </c>
      <c r="R44" s="3" t="s">
        <v>40</v>
      </c>
      <c r="S44" s="3"/>
      <c r="T44" s="3"/>
      <c r="U44" s="3" t="s">
        <v>346</v>
      </c>
      <c r="V44" s="3"/>
      <c r="W44" s="3" t="s">
        <v>42</v>
      </c>
      <c r="X44" s="3" t="s">
        <v>97</v>
      </c>
    </row>
    <row r="45" customFormat="false" ht="99.75" hidden="false" customHeight="true" outlineLevel="0" collapsed="false">
      <c r="A45" s="3" t="s">
        <v>365</v>
      </c>
      <c r="B45" s="3" t="s">
        <v>366</v>
      </c>
      <c r="C45" s="3" t="s">
        <v>26</v>
      </c>
      <c r="D45" s="3" t="s">
        <v>27</v>
      </c>
      <c r="E45" s="3" t="s">
        <v>339</v>
      </c>
      <c r="F45" s="3" t="s">
        <v>367</v>
      </c>
      <c r="G45" s="4" t="s">
        <v>341</v>
      </c>
      <c r="H45" s="3" t="s">
        <v>31</v>
      </c>
      <c r="I45" s="3" t="s">
        <v>342</v>
      </c>
      <c r="J45" s="3" t="s">
        <v>33</v>
      </c>
      <c r="K45" s="3" t="s">
        <v>368</v>
      </c>
      <c r="L45" s="3" t="s">
        <v>369</v>
      </c>
      <c r="M45" s="3"/>
      <c r="N45" s="3" t="s">
        <v>36</v>
      </c>
      <c r="O45" s="3" t="s">
        <v>37</v>
      </c>
      <c r="P45" s="3" t="s">
        <v>370</v>
      </c>
      <c r="Q45" s="3" t="s">
        <v>39</v>
      </c>
      <c r="R45" s="3" t="s">
        <v>371</v>
      </c>
      <c r="S45" s="3"/>
      <c r="T45" s="3"/>
      <c r="U45" s="3" t="s">
        <v>346</v>
      </c>
      <c r="V45" s="3"/>
      <c r="W45" s="3" t="s">
        <v>42</v>
      </c>
      <c r="X45" s="3" t="s">
        <v>97</v>
      </c>
    </row>
    <row r="46" customFormat="false" ht="99.75" hidden="false" customHeight="true" outlineLevel="0" collapsed="false">
      <c r="A46" s="3" t="s">
        <v>372</v>
      </c>
      <c r="B46" s="3" t="s">
        <v>373</v>
      </c>
      <c r="C46" s="3" t="s">
        <v>26</v>
      </c>
      <c r="D46" s="3" t="s">
        <v>27</v>
      </c>
      <c r="E46" s="3" t="s">
        <v>374</v>
      </c>
      <c r="F46" s="3" t="s">
        <v>375</v>
      </c>
      <c r="G46" s="4" t="s">
        <v>376</v>
      </c>
      <c r="H46" s="3" t="s">
        <v>31</v>
      </c>
      <c r="I46" s="3" t="s">
        <v>32</v>
      </c>
      <c r="J46" s="3" t="s">
        <v>33</v>
      </c>
      <c r="K46" s="3" t="s">
        <v>377</v>
      </c>
      <c r="L46" s="3" t="s">
        <v>378</v>
      </c>
      <c r="M46" s="3"/>
      <c r="N46" s="3" t="s">
        <v>36</v>
      </c>
      <c r="O46" s="3" t="s">
        <v>94</v>
      </c>
      <c r="P46" s="3" t="s">
        <v>379</v>
      </c>
      <c r="Q46" s="3" t="s">
        <v>39</v>
      </c>
      <c r="R46" s="3" t="s">
        <v>40</v>
      </c>
      <c r="S46" s="3"/>
      <c r="T46" s="3"/>
      <c r="U46" s="3" t="s">
        <v>380</v>
      </c>
      <c r="V46" s="3"/>
      <c r="W46" s="3" t="s">
        <v>42</v>
      </c>
      <c r="X46" s="3" t="s">
        <v>43</v>
      </c>
    </row>
    <row r="47" customFormat="false" ht="99.75" hidden="false" customHeight="true" outlineLevel="0" collapsed="false">
      <c r="A47" s="3" t="s">
        <v>381</v>
      </c>
      <c r="B47" s="3" t="s">
        <v>382</v>
      </c>
      <c r="C47" s="3" t="s">
        <v>26</v>
      </c>
      <c r="D47" s="3" t="s">
        <v>27</v>
      </c>
      <c r="E47" s="3" t="s">
        <v>374</v>
      </c>
      <c r="F47" s="3" t="s">
        <v>383</v>
      </c>
      <c r="G47" s="4" t="s">
        <v>384</v>
      </c>
      <c r="H47" s="3" t="s">
        <v>31</v>
      </c>
      <c r="I47" s="3" t="s">
        <v>32</v>
      </c>
      <c r="J47" s="3" t="s">
        <v>33</v>
      </c>
      <c r="K47" s="3" t="s">
        <v>385</v>
      </c>
      <c r="L47" s="3" t="s">
        <v>386</v>
      </c>
      <c r="M47" s="3"/>
      <c r="N47" s="3" t="s">
        <v>36</v>
      </c>
      <c r="O47" s="3" t="s">
        <v>120</v>
      </c>
      <c r="P47" s="3" t="s">
        <v>387</v>
      </c>
      <c r="Q47" s="3" t="s">
        <v>39</v>
      </c>
      <c r="R47" s="3" t="s">
        <v>40</v>
      </c>
      <c r="S47" s="3"/>
      <c r="T47" s="3"/>
      <c r="U47" s="3" t="s">
        <v>380</v>
      </c>
      <c r="V47" s="3"/>
      <c r="W47" s="3" t="s">
        <v>42</v>
      </c>
      <c r="X47" s="3" t="s">
        <v>43</v>
      </c>
    </row>
    <row r="48" customFormat="false" ht="99.75" hidden="false" customHeight="true" outlineLevel="0" collapsed="false">
      <c r="A48" s="3" t="s">
        <v>388</v>
      </c>
      <c r="B48" s="3" t="s">
        <v>389</v>
      </c>
      <c r="C48" s="3" t="s">
        <v>26</v>
      </c>
      <c r="D48" s="3" t="s">
        <v>27</v>
      </c>
      <c r="E48" s="3" t="s">
        <v>374</v>
      </c>
      <c r="F48" s="3" t="s">
        <v>390</v>
      </c>
      <c r="G48" s="4" t="s">
        <v>384</v>
      </c>
      <c r="H48" s="3" t="s">
        <v>31</v>
      </c>
      <c r="I48" s="3" t="s">
        <v>32</v>
      </c>
      <c r="J48" s="3" t="s">
        <v>33</v>
      </c>
      <c r="K48" s="3" t="s">
        <v>391</v>
      </c>
      <c r="L48" s="3" t="s">
        <v>392</v>
      </c>
      <c r="M48" s="3"/>
      <c r="N48" s="3" t="s">
        <v>36</v>
      </c>
      <c r="O48" s="3" t="s">
        <v>56</v>
      </c>
      <c r="P48" s="3" t="s">
        <v>393</v>
      </c>
      <c r="Q48" s="3" t="s">
        <v>39</v>
      </c>
      <c r="R48" s="3" t="s">
        <v>40</v>
      </c>
      <c r="S48" s="3"/>
      <c r="T48" s="3"/>
      <c r="U48" s="3" t="s">
        <v>380</v>
      </c>
      <c r="V48" s="3"/>
      <c r="W48" s="3" t="s">
        <v>42</v>
      </c>
      <c r="X48" s="3" t="s">
        <v>43</v>
      </c>
    </row>
    <row r="49" customFormat="false" ht="99.75" hidden="false" customHeight="true" outlineLevel="0" collapsed="false">
      <c r="A49" s="3" t="s">
        <v>394</v>
      </c>
      <c r="B49" s="3" t="s">
        <v>395</v>
      </c>
      <c r="C49" s="3" t="s">
        <v>26</v>
      </c>
      <c r="D49" s="3" t="s">
        <v>27</v>
      </c>
      <c r="E49" s="3" t="s">
        <v>374</v>
      </c>
      <c r="F49" s="3" t="s">
        <v>396</v>
      </c>
      <c r="G49" s="4" t="s">
        <v>384</v>
      </c>
      <c r="H49" s="3" t="s">
        <v>31</v>
      </c>
      <c r="I49" s="3" t="s">
        <v>32</v>
      </c>
      <c r="J49" s="3" t="s">
        <v>33</v>
      </c>
      <c r="K49" s="3" t="s">
        <v>397</v>
      </c>
      <c r="L49" s="3" t="s">
        <v>398</v>
      </c>
      <c r="M49" s="3"/>
      <c r="N49" s="3" t="s">
        <v>36</v>
      </c>
      <c r="O49" s="3" t="s">
        <v>94</v>
      </c>
      <c r="P49" s="3" t="s">
        <v>399</v>
      </c>
      <c r="Q49" s="3" t="s">
        <v>39</v>
      </c>
      <c r="R49" s="3" t="s">
        <v>40</v>
      </c>
      <c r="S49" s="3"/>
      <c r="T49" s="3"/>
      <c r="U49" s="3" t="s">
        <v>380</v>
      </c>
      <c r="V49" s="3"/>
      <c r="W49" s="3" t="s">
        <v>42</v>
      </c>
      <c r="X49" s="3" t="s">
        <v>43</v>
      </c>
    </row>
    <row r="50" customFormat="false" ht="99.75" hidden="false" customHeight="true" outlineLevel="0" collapsed="false">
      <c r="A50" s="3" t="s">
        <v>400</v>
      </c>
      <c r="B50" s="3" t="s">
        <v>401</v>
      </c>
      <c r="C50" s="3" t="s">
        <v>26</v>
      </c>
      <c r="D50" s="3" t="s">
        <v>27</v>
      </c>
      <c r="E50" s="3" t="s">
        <v>374</v>
      </c>
      <c r="F50" s="3" t="s">
        <v>402</v>
      </c>
      <c r="G50" s="4" t="s">
        <v>403</v>
      </c>
      <c r="H50" s="3" t="s">
        <v>31</v>
      </c>
      <c r="I50" s="3" t="s">
        <v>32</v>
      </c>
      <c r="J50" s="3" t="s">
        <v>33</v>
      </c>
      <c r="K50" s="3" t="s">
        <v>404</v>
      </c>
      <c r="L50" s="3" t="s">
        <v>405</v>
      </c>
      <c r="M50" s="3"/>
      <c r="N50" s="3" t="s">
        <v>36</v>
      </c>
      <c r="O50" s="3" t="s">
        <v>94</v>
      </c>
      <c r="P50" s="3" t="s">
        <v>406</v>
      </c>
      <c r="Q50" s="3" t="s">
        <v>80</v>
      </c>
      <c r="R50" s="3" t="s">
        <v>407</v>
      </c>
      <c r="S50" s="3"/>
      <c r="T50" s="3"/>
      <c r="U50" s="3" t="s">
        <v>380</v>
      </c>
      <c r="V50" s="3"/>
      <c r="W50" s="3" t="s">
        <v>42</v>
      </c>
      <c r="X50" s="3" t="s">
        <v>43</v>
      </c>
    </row>
    <row r="51" customFormat="false" ht="99.75" hidden="false" customHeight="true" outlineLevel="0" collapsed="false">
      <c r="A51" s="3" t="s">
        <v>408</v>
      </c>
      <c r="B51" s="3" t="s">
        <v>409</v>
      </c>
      <c r="C51" s="3" t="s">
        <v>26</v>
      </c>
      <c r="D51" s="3" t="s">
        <v>27</v>
      </c>
      <c r="E51" s="3" t="s">
        <v>374</v>
      </c>
      <c r="F51" s="3" t="s">
        <v>410</v>
      </c>
      <c r="G51" s="4" t="s">
        <v>411</v>
      </c>
      <c r="H51" s="3" t="s">
        <v>31</v>
      </c>
      <c r="I51" s="3" t="s">
        <v>32</v>
      </c>
      <c r="J51" s="3" t="s">
        <v>33</v>
      </c>
      <c r="K51" s="3" t="s">
        <v>412</v>
      </c>
      <c r="L51" s="3" t="s">
        <v>413</v>
      </c>
      <c r="M51" s="3"/>
      <c r="N51" s="3" t="s">
        <v>36</v>
      </c>
      <c r="O51" s="3" t="s">
        <v>94</v>
      </c>
      <c r="P51" s="3" t="s">
        <v>414</v>
      </c>
      <c r="Q51" s="3" t="s">
        <v>39</v>
      </c>
      <c r="R51" s="3" t="s">
        <v>415</v>
      </c>
      <c r="S51" s="3"/>
      <c r="T51" s="3"/>
      <c r="U51" s="3" t="s">
        <v>380</v>
      </c>
      <c r="V51" s="3"/>
      <c r="W51" s="3" t="s">
        <v>42</v>
      </c>
      <c r="X51" s="3" t="s">
        <v>43</v>
      </c>
    </row>
    <row r="52" customFormat="false" ht="99.75" hidden="false" customHeight="true" outlineLevel="0" collapsed="false">
      <c r="A52" s="3" t="s">
        <v>416</v>
      </c>
      <c r="B52" s="3" t="s">
        <v>417</v>
      </c>
      <c r="C52" s="3" t="s">
        <v>26</v>
      </c>
      <c r="D52" s="3" t="s">
        <v>27</v>
      </c>
      <c r="E52" s="3" t="s">
        <v>374</v>
      </c>
      <c r="F52" s="3" t="s">
        <v>418</v>
      </c>
      <c r="G52" s="4" t="s">
        <v>419</v>
      </c>
      <c r="H52" s="3" t="s">
        <v>31</v>
      </c>
      <c r="I52" s="3" t="s">
        <v>32</v>
      </c>
      <c r="J52" s="3" t="s">
        <v>33</v>
      </c>
      <c r="K52" s="3" t="s">
        <v>385</v>
      </c>
      <c r="L52" s="3" t="s">
        <v>420</v>
      </c>
      <c r="M52" s="3"/>
      <c r="N52" s="3" t="s">
        <v>36</v>
      </c>
      <c r="O52" s="3" t="s">
        <v>120</v>
      </c>
      <c r="P52" s="3" t="s">
        <v>421</v>
      </c>
      <c r="Q52" s="3" t="s">
        <v>39</v>
      </c>
      <c r="R52" s="3" t="s">
        <v>40</v>
      </c>
      <c r="S52" s="3" t="s">
        <v>98</v>
      </c>
      <c r="T52" s="3"/>
      <c r="U52" s="3" t="s">
        <v>380</v>
      </c>
      <c r="V52" s="3"/>
      <c r="W52" s="3" t="s">
        <v>42</v>
      </c>
      <c r="X52" s="3" t="s">
        <v>97</v>
      </c>
    </row>
    <row r="53" customFormat="false" ht="99.75" hidden="false" customHeight="true" outlineLevel="0" collapsed="false">
      <c r="A53" s="3" t="s">
        <v>422</v>
      </c>
      <c r="B53" s="3" t="s">
        <v>423</v>
      </c>
      <c r="C53" s="3" t="s">
        <v>26</v>
      </c>
      <c r="D53" s="3" t="s">
        <v>27</v>
      </c>
      <c r="E53" s="3" t="s">
        <v>374</v>
      </c>
      <c r="F53" s="3" t="s">
        <v>424</v>
      </c>
      <c r="G53" s="4" t="s">
        <v>425</v>
      </c>
      <c r="H53" s="3" t="s">
        <v>31</v>
      </c>
      <c r="I53" s="3" t="s">
        <v>32</v>
      </c>
      <c r="J53" s="3" t="s">
        <v>33</v>
      </c>
      <c r="K53" s="3" t="s">
        <v>426</v>
      </c>
      <c r="L53" s="3" t="s">
        <v>427</v>
      </c>
      <c r="M53" s="3"/>
      <c r="N53" s="3" t="s">
        <v>36</v>
      </c>
      <c r="O53" s="3" t="s">
        <v>94</v>
      </c>
      <c r="P53" s="3" t="s">
        <v>428</v>
      </c>
      <c r="Q53" s="3" t="s">
        <v>39</v>
      </c>
      <c r="R53" s="3" t="s">
        <v>40</v>
      </c>
      <c r="S53" s="3" t="s">
        <v>199</v>
      </c>
      <c r="T53" s="3"/>
      <c r="U53" s="3" t="s">
        <v>380</v>
      </c>
      <c r="V53" s="3"/>
      <c r="W53" s="3" t="s">
        <v>42</v>
      </c>
      <c r="X53" s="3" t="s">
        <v>97</v>
      </c>
    </row>
    <row r="54" customFormat="false" ht="99.75" hidden="false" customHeight="true" outlineLevel="0" collapsed="false">
      <c r="A54" s="3" t="s">
        <v>429</v>
      </c>
      <c r="B54" s="3" t="s">
        <v>430</v>
      </c>
      <c r="C54" s="3" t="s">
        <v>26</v>
      </c>
      <c r="D54" s="3" t="s">
        <v>27</v>
      </c>
      <c r="E54" s="3" t="s">
        <v>374</v>
      </c>
      <c r="F54" s="3" t="s">
        <v>431</v>
      </c>
      <c r="G54" s="4" t="s">
        <v>425</v>
      </c>
      <c r="H54" s="3" t="s">
        <v>31</v>
      </c>
      <c r="I54" s="3" t="s">
        <v>32</v>
      </c>
      <c r="J54" s="3" t="s">
        <v>432</v>
      </c>
      <c r="K54" s="3" t="s">
        <v>433</v>
      </c>
      <c r="L54" s="3" t="s">
        <v>434</v>
      </c>
      <c r="M54" s="3"/>
      <c r="N54" s="3" t="s">
        <v>36</v>
      </c>
      <c r="O54" s="3" t="s">
        <v>120</v>
      </c>
      <c r="P54" s="3" t="s">
        <v>435</v>
      </c>
      <c r="Q54" s="3" t="s">
        <v>39</v>
      </c>
      <c r="R54" s="3" t="s">
        <v>40</v>
      </c>
      <c r="S54" s="3" t="s">
        <v>24</v>
      </c>
      <c r="T54" s="3"/>
      <c r="U54" s="3" t="s">
        <v>380</v>
      </c>
      <c r="V54" s="3"/>
      <c r="W54" s="3" t="s">
        <v>42</v>
      </c>
      <c r="X54" s="3" t="s">
        <v>97</v>
      </c>
    </row>
    <row r="55" customFormat="false" ht="99.75" hidden="false" customHeight="true" outlineLevel="0" collapsed="false">
      <c r="A55" s="3" t="s">
        <v>436</v>
      </c>
      <c r="B55" s="3" t="s">
        <v>437</v>
      </c>
      <c r="C55" s="3" t="s">
        <v>26</v>
      </c>
      <c r="D55" s="3" t="s">
        <v>27</v>
      </c>
      <c r="E55" s="3" t="s">
        <v>374</v>
      </c>
      <c r="F55" s="3" t="s">
        <v>438</v>
      </c>
      <c r="G55" s="4" t="s">
        <v>439</v>
      </c>
      <c r="H55" s="3" t="s">
        <v>31</v>
      </c>
      <c r="I55" s="3" t="s">
        <v>32</v>
      </c>
      <c r="J55" s="3" t="s">
        <v>33</v>
      </c>
      <c r="K55" s="3" t="s">
        <v>440</v>
      </c>
      <c r="L55" s="3" t="s">
        <v>441</v>
      </c>
      <c r="M55" s="3" t="n">
        <v>365</v>
      </c>
      <c r="N55" s="3" t="s">
        <v>103</v>
      </c>
      <c r="O55" s="3" t="s">
        <v>94</v>
      </c>
      <c r="P55" s="3" t="s">
        <v>442</v>
      </c>
      <c r="Q55" s="3" t="s">
        <v>39</v>
      </c>
      <c r="R55" s="3" t="s">
        <v>443</v>
      </c>
      <c r="S55" s="3"/>
      <c r="T55" s="3"/>
      <c r="U55" s="3" t="s">
        <v>380</v>
      </c>
      <c r="V55" s="3"/>
      <c r="W55" s="3" t="s">
        <v>106</v>
      </c>
      <c r="X55" s="3" t="s">
        <v>43</v>
      </c>
    </row>
    <row r="56" customFormat="false" ht="79.5" hidden="false" customHeight="true" outlineLevel="0" collapsed="false">
      <c r="A56" s="3" t="s">
        <v>444</v>
      </c>
      <c r="B56" s="3" t="s">
        <v>445</v>
      </c>
      <c r="C56" s="3" t="s">
        <v>26</v>
      </c>
      <c r="D56" s="3" t="s">
        <v>27</v>
      </c>
      <c r="E56" s="3" t="s">
        <v>124</v>
      </c>
      <c r="F56" s="3" t="s">
        <v>446</v>
      </c>
      <c r="G56" s="4" t="s">
        <v>162</v>
      </c>
      <c r="H56" s="3" t="s">
        <v>31</v>
      </c>
      <c r="I56" s="3" t="s">
        <v>163</v>
      </c>
      <c r="J56" s="3" t="s">
        <v>128</v>
      </c>
      <c r="K56" s="3" t="s">
        <v>447</v>
      </c>
      <c r="L56" s="3" t="s">
        <v>448</v>
      </c>
      <c r="M56" s="3"/>
      <c r="N56" s="3" t="s">
        <v>36</v>
      </c>
      <c r="O56" s="3" t="s">
        <v>94</v>
      </c>
      <c r="P56" s="3" t="s">
        <v>449</v>
      </c>
      <c r="Q56" s="3" t="s">
        <v>39</v>
      </c>
      <c r="R56" s="3" t="s">
        <v>450</v>
      </c>
      <c r="S56" s="3"/>
      <c r="T56" s="3"/>
      <c r="U56" s="3" t="n">
        <v>43160</v>
      </c>
      <c r="V56" s="3"/>
      <c r="W56" s="3" t="s">
        <v>106</v>
      </c>
      <c r="X56" s="3" t="s">
        <v>43</v>
      </c>
    </row>
    <row r="57" customFormat="false" ht="102" hidden="false" customHeight="true" outlineLevel="0" collapsed="false">
      <c r="A57" s="3" t="s">
        <v>451</v>
      </c>
      <c r="B57" s="3" t="s">
        <v>452</v>
      </c>
      <c r="C57" s="3" t="s">
        <v>26</v>
      </c>
      <c r="D57" s="3" t="s">
        <v>27</v>
      </c>
      <c r="E57" s="3" t="s">
        <v>124</v>
      </c>
      <c r="F57" s="3" t="s">
        <v>453</v>
      </c>
      <c r="G57" s="4" t="s">
        <v>162</v>
      </c>
      <c r="H57" s="3" t="s">
        <v>31</v>
      </c>
      <c r="I57" s="3" t="s">
        <v>163</v>
      </c>
      <c r="J57" s="3" t="s">
        <v>128</v>
      </c>
      <c r="K57" s="3" t="s">
        <v>454</v>
      </c>
      <c r="L57" s="3" t="s">
        <v>455</v>
      </c>
      <c r="M57" s="3"/>
      <c r="N57" s="3" t="s">
        <v>36</v>
      </c>
      <c r="O57" s="3" t="s">
        <v>94</v>
      </c>
      <c r="P57" s="3" t="s">
        <v>456</v>
      </c>
      <c r="Q57" s="3" t="s">
        <v>39</v>
      </c>
      <c r="R57" s="3" t="s">
        <v>457</v>
      </c>
      <c r="S57" s="3"/>
      <c r="T57" s="3"/>
      <c r="U57" s="3" t="n">
        <v>43160</v>
      </c>
      <c r="V57" s="3"/>
      <c r="W57" s="3" t="s">
        <v>106</v>
      </c>
      <c r="X57" s="3" t="s">
        <v>43</v>
      </c>
    </row>
    <row r="58" customFormat="false" ht="124.5" hidden="false" customHeight="true" outlineLevel="0" collapsed="false">
      <c r="A58" s="3" t="s">
        <v>458</v>
      </c>
      <c r="B58" s="3" t="s">
        <v>459</v>
      </c>
      <c r="C58" s="3" t="s">
        <v>26</v>
      </c>
      <c r="D58" s="3" t="s">
        <v>27</v>
      </c>
      <c r="E58" s="3" t="s">
        <v>124</v>
      </c>
      <c r="F58" s="3" t="s">
        <v>460</v>
      </c>
      <c r="G58" s="4" t="s">
        <v>461</v>
      </c>
      <c r="H58" s="3" t="s">
        <v>31</v>
      </c>
      <c r="I58" s="3" t="s">
        <v>143</v>
      </c>
      <c r="J58" s="3" t="s">
        <v>128</v>
      </c>
      <c r="K58" s="3" t="s">
        <v>462</v>
      </c>
      <c r="L58" s="3" t="s">
        <v>463</v>
      </c>
      <c r="M58" s="3"/>
      <c r="N58" s="3" t="s">
        <v>36</v>
      </c>
      <c r="O58" s="3" t="s">
        <v>56</v>
      </c>
      <c r="P58" s="3" t="s">
        <v>464</v>
      </c>
      <c r="Q58" s="3" t="s">
        <v>39</v>
      </c>
      <c r="R58" s="3" t="s">
        <v>465</v>
      </c>
      <c r="S58" s="3"/>
      <c r="T58" s="3"/>
      <c r="U58" s="3" t="n">
        <v>41730</v>
      </c>
      <c r="V58" s="3"/>
      <c r="W58" s="3" t="s">
        <v>42</v>
      </c>
      <c r="X58" s="3" t="s">
        <v>43</v>
      </c>
    </row>
    <row r="59" customFormat="false" ht="79.5" hidden="false" customHeight="true" outlineLevel="0" collapsed="false">
      <c r="A59" s="3" t="s">
        <v>466</v>
      </c>
      <c r="B59" s="3" t="s">
        <v>467</v>
      </c>
      <c r="C59" s="3" t="s">
        <v>26</v>
      </c>
      <c r="D59" s="3" t="s">
        <v>27</v>
      </c>
      <c r="E59" s="3" t="s">
        <v>124</v>
      </c>
      <c r="F59" s="3" t="s">
        <v>468</v>
      </c>
      <c r="G59" s="4" t="s">
        <v>461</v>
      </c>
      <c r="H59" s="3" t="s">
        <v>31</v>
      </c>
      <c r="I59" s="3" t="s">
        <v>143</v>
      </c>
      <c r="J59" s="3" t="s">
        <v>128</v>
      </c>
      <c r="K59" s="3" t="s">
        <v>469</v>
      </c>
      <c r="L59" s="3" t="s">
        <v>470</v>
      </c>
      <c r="M59" s="3"/>
      <c r="N59" s="3" t="s">
        <v>36</v>
      </c>
      <c r="O59" s="3" t="s">
        <v>56</v>
      </c>
      <c r="P59" s="3" t="s">
        <v>471</v>
      </c>
      <c r="Q59" s="3" t="s">
        <v>39</v>
      </c>
      <c r="R59" s="3" t="s">
        <v>472</v>
      </c>
      <c r="S59" s="3"/>
      <c r="T59" s="3"/>
      <c r="U59" s="3" t="n">
        <v>41730</v>
      </c>
      <c r="V59" s="3"/>
      <c r="W59" s="3" t="s">
        <v>42</v>
      </c>
      <c r="X59" s="3" t="s">
        <v>43</v>
      </c>
    </row>
    <row r="60" customFormat="false" ht="79.5" hidden="false" customHeight="true" outlineLevel="0" collapsed="false">
      <c r="A60" s="3" t="s">
        <v>473</v>
      </c>
      <c r="B60" s="3" t="s">
        <v>474</v>
      </c>
      <c r="C60" s="3" t="s">
        <v>26</v>
      </c>
      <c r="D60" s="3" t="s">
        <v>27</v>
      </c>
      <c r="E60" s="3" t="s">
        <v>124</v>
      </c>
      <c r="F60" s="3" t="s">
        <v>475</v>
      </c>
      <c r="G60" s="4" t="s">
        <v>461</v>
      </c>
      <c r="H60" s="3" t="s">
        <v>31</v>
      </c>
      <c r="I60" s="3" t="s">
        <v>143</v>
      </c>
      <c r="J60" s="3" t="s">
        <v>128</v>
      </c>
      <c r="K60" s="3" t="s">
        <v>476</v>
      </c>
      <c r="L60" s="3" t="s">
        <v>477</v>
      </c>
      <c r="M60" s="3"/>
      <c r="N60" s="3" t="s">
        <v>36</v>
      </c>
      <c r="O60" s="3" t="s">
        <v>56</v>
      </c>
      <c r="P60" s="3" t="s">
        <v>478</v>
      </c>
      <c r="Q60" s="3" t="s">
        <v>39</v>
      </c>
      <c r="R60" s="3" t="s">
        <v>479</v>
      </c>
      <c r="S60" s="3" t="s">
        <v>458</v>
      </c>
      <c r="T60" s="3"/>
      <c r="U60" s="3" t="n">
        <v>41730</v>
      </c>
      <c r="V60" s="3"/>
      <c r="W60" s="3" t="s">
        <v>42</v>
      </c>
      <c r="X60" s="3" t="s">
        <v>43</v>
      </c>
    </row>
    <row r="61" customFormat="false" ht="57" hidden="false" customHeight="true" outlineLevel="0" collapsed="false">
      <c r="A61" s="3" t="s">
        <v>480</v>
      </c>
      <c r="B61" s="3" t="s">
        <v>481</v>
      </c>
      <c r="C61" s="3" t="s">
        <v>26</v>
      </c>
      <c r="D61" s="3" t="s">
        <v>27</v>
      </c>
      <c r="E61" s="3" t="s">
        <v>124</v>
      </c>
      <c r="F61" s="3" t="s">
        <v>482</v>
      </c>
      <c r="G61" s="4" t="s">
        <v>483</v>
      </c>
      <c r="H61" s="3" t="s">
        <v>31</v>
      </c>
      <c r="I61" s="3" t="s">
        <v>143</v>
      </c>
      <c r="J61" s="3" t="s">
        <v>128</v>
      </c>
      <c r="K61" s="3" t="s">
        <v>484</v>
      </c>
      <c r="L61" s="3" t="s">
        <v>485</v>
      </c>
      <c r="M61" s="3"/>
      <c r="N61" s="3" t="s">
        <v>36</v>
      </c>
      <c r="O61" s="3" t="s">
        <v>56</v>
      </c>
      <c r="P61" s="3" t="s">
        <v>486</v>
      </c>
      <c r="Q61" s="3" t="s">
        <v>39</v>
      </c>
      <c r="R61" s="3" t="s">
        <v>40</v>
      </c>
      <c r="S61" s="3"/>
      <c r="T61" s="3"/>
      <c r="U61" s="3" t="n">
        <v>41821</v>
      </c>
      <c r="V61" s="3"/>
      <c r="W61" s="3" t="s">
        <v>106</v>
      </c>
      <c r="X61" s="3" t="s">
        <v>43</v>
      </c>
    </row>
    <row r="62" customFormat="false" ht="79.5" hidden="false" customHeight="true" outlineLevel="0" collapsed="false">
      <c r="A62" s="3" t="s">
        <v>487</v>
      </c>
      <c r="B62" s="3" t="s">
        <v>488</v>
      </c>
      <c r="C62" s="3" t="s">
        <v>26</v>
      </c>
      <c r="D62" s="3" t="s">
        <v>27</v>
      </c>
      <c r="E62" s="3" t="s">
        <v>124</v>
      </c>
      <c r="F62" s="3" t="s">
        <v>489</v>
      </c>
      <c r="G62" s="4" t="s">
        <v>483</v>
      </c>
      <c r="H62" s="3" t="s">
        <v>31</v>
      </c>
      <c r="I62" s="3" t="s">
        <v>143</v>
      </c>
      <c r="J62" s="3" t="s">
        <v>128</v>
      </c>
      <c r="K62" s="3" t="s">
        <v>484</v>
      </c>
      <c r="L62" s="3" t="s">
        <v>490</v>
      </c>
      <c r="M62" s="3"/>
      <c r="N62" s="3" t="s">
        <v>36</v>
      </c>
      <c r="O62" s="3" t="s">
        <v>56</v>
      </c>
      <c r="P62" s="3" t="s">
        <v>491</v>
      </c>
      <c r="Q62" s="3" t="s">
        <v>39</v>
      </c>
      <c r="R62" s="3" t="s">
        <v>40</v>
      </c>
      <c r="S62" s="3" t="s">
        <v>458</v>
      </c>
      <c r="T62" s="3"/>
      <c r="U62" s="3" t="n">
        <v>41821</v>
      </c>
      <c r="V62" s="3"/>
      <c r="W62" s="3" t="s">
        <v>106</v>
      </c>
      <c r="X62" s="3" t="s">
        <v>43</v>
      </c>
    </row>
    <row r="63" customFormat="false" ht="102" hidden="false" customHeight="true" outlineLevel="0" collapsed="false">
      <c r="A63" s="3" t="s">
        <v>492</v>
      </c>
      <c r="B63" s="3" t="s">
        <v>493</v>
      </c>
      <c r="C63" s="3" t="s">
        <v>26</v>
      </c>
      <c r="D63" s="3" t="s">
        <v>27</v>
      </c>
      <c r="E63" s="3" t="s">
        <v>124</v>
      </c>
      <c r="F63" s="3" t="s">
        <v>494</v>
      </c>
      <c r="G63" s="4" t="s">
        <v>483</v>
      </c>
      <c r="H63" s="3" t="s">
        <v>31</v>
      </c>
      <c r="I63" s="3" t="s">
        <v>143</v>
      </c>
      <c r="J63" s="3" t="s">
        <v>128</v>
      </c>
      <c r="K63" s="3" t="s">
        <v>495</v>
      </c>
      <c r="L63" s="3" t="s">
        <v>496</v>
      </c>
      <c r="M63" s="3"/>
      <c r="N63" s="3" t="s">
        <v>36</v>
      </c>
      <c r="O63" s="3" t="s">
        <v>56</v>
      </c>
      <c r="P63" s="3" t="s">
        <v>497</v>
      </c>
      <c r="Q63" s="3" t="s">
        <v>39</v>
      </c>
      <c r="R63" s="3" t="s">
        <v>40</v>
      </c>
      <c r="S63" s="3"/>
      <c r="T63" s="3"/>
      <c r="U63" s="3" t="n">
        <v>41821</v>
      </c>
      <c r="V63" s="3"/>
      <c r="W63" s="3" t="s">
        <v>106</v>
      </c>
      <c r="X63" s="3" t="s">
        <v>43</v>
      </c>
    </row>
    <row r="64" customFormat="false" ht="124.5" hidden="false" customHeight="true" outlineLevel="0" collapsed="false">
      <c r="A64" s="3" t="s">
        <v>498</v>
      </c>
      <c r="B64" s="3" t="s">
        <v>499</v>
      </c>
      <c r="C64" s="3" t="s">
        <v>26</v>
      </c>
      <c r="D64" s="3" t="s">
        <v>27</v>
      </c>
      <c r="E64" s="3" t="s">
        <v>124</v>
      </c>
      <c r="F64" s="3" t="s">
        <v>500</v>
      </c>
      <c r="G64" s="4" t="s">
        <v>501</v>
      </c>
      <c r="H64" s="3" t="s">
        <v>31</v>
      </c>
      <c r="I64" s="3" t="s">
        <v>143</v>
      </c>
      <c r="J64" s="3" t="s">
        <v>128</v>
      </c>
      <c r="K64" s="3" t="s">
        <v>502</v>
      </c>
      <c r="L64" s="3" t="s">
        <v>503</v>
      </c>
      <c r="M64" s="3"/>
      <c r="N64" s="3" t="s">
        <v>36</v>
      </c>
      <c r="O64" s="3" t="s">
        <v>56</v>
      </c>
      <c r="P64" s="3" t="s">
        <v>504</v>
      </c>
      <c r="Q64" s="3" t="s">
        <v>39</v>
      </c>
      <c r="R64" s="3" t="s">
        <v>505</v>
      </c>
      <c r="S64" s="3"/>
      <c r="T64" s="3"/>
      <c r="U64" s="3" t="n">
        <v>41730</v>
      </c>
      <c r="V64" s="3"/>
      <c r="W64" s="3" t="s">
        <v>42</v>
      </c>
      <c r="X64" s="3" t="s">
        <v>43</v>
      </c>
    </row>
    <row r="65" customFormat="false" ht="68.25" hidden="false" customHeight="true" outlineLevel="0" collapsed="false">
      <c r="A65" s="3" t="s">
        <v>506</v>
      </c>
      <c r="B65" s="3" t="s">
        <v>507</v>
      </c>
      <c r="C65" s="3" t="s">
        <v>26</v>
      </c>
      <c r="D65" s="3" t="s">
        <v>27</v>
      </c>
      <c r="E65" s="3" t="s">
        <v>124</v>
      </c>
      <c r="F65" s="3" t="s">
        <v>508</v>
      </c>
      <c r="G65" s="4" t="s">
        <v>509</v>
      </c>
      <c r="H65" s="3" t="s">
        <v>31</v>
      </c>
      <c r="I65" s="3" t="s">
        <v>143</v>
      </c>
      <c r="J65" s="3" t="s">
        <v>128</v>
      </c>
      <c r="K65" s="3" t="s">
        <v>129</v>
      </c>
      <c r="L65" s="3" t="s">
        <v>510</v>
      </c>
      <c r="M65" s="3"/>
      <c r="N65" s="3" t="s">
        <v>36</v>
      </c>
      <c r="O65" s="3" t="s">
        <v>56</v>
      </c>
      <c r="P65" s="3" t="s">
        <v>511</v>
      </c>
      <c r="Q65" s="3" t="s">
        <v>39</v>
      </c>
      <c r="R65" s="3" t="s">
        <v>512</v>
      </c>
      <c r="S65" s="3"/>
      <c r="T65" s="3"/>
      <c r="U65" s="3" t="n">
        <v>41730</v>
      </c>
      <c r="V65" s="3"/>
      <c r="W65" s="3" t="s">
        <v>106</v>
      </c>
      <c r="X65" s="3" t="s">
        <v>43</v>
      </c>
    </row>
    <row r="66" customFormat="false" ht="113.25" hidden="false" customHeight="true" outlineLevel="0" collapsed="false">
      <c r="A66" s="3" t="s">
        <v>513</v>
      </c>
      <c r="B66" s="3" t="s">
        <v>514</v>
      </c>
      <c r="C66" s="3" t="s">
        <v>26</v>
      </c>
      <c r="D66" s="3" t="s">
        <v>27</v>
      </c>
      <c r="E66" s="3" t="s">
        <v>253</v>
      </c>
      <c r="F66" s="3" t="s">
        <v>515</v>
      </c>
      <c r="G66" s="4" t="s">
        <v>516</v>
      </c>
      <c r="H66" s="3" t="s">
        <v>31</v>
      </c>
      <c r="I66" s="3" t="s">
        <v>265</v>
      </c>
      <c r="J66" s="3" t="s">
        <v>128</v>
      </c>
      <c r="K66" s="3" t="s">
        <v>462</v>
      </c>
      <c r="L66" s="3" t="s">
        <v>517</v>
      </c>
      <c r="M66" s="3"/>
      <c r="N66" s="3" t="s">
        <v>36</v>
      </c>
      <c r="O66" s="3" t="s">
        <v>56</v>
      </c>
      <c r="P66" s="3" t="s">
        <v>518</v>
      </c>
      <c r="Q66" s="3" t="s">
        <v>39</v>
      </c>
      <c r="R66" s="3" t="s">
        <v>519</v>
      </c>
      <c r="S66" s="3"/>
      <c r="T66" s="3"/>
      <c r="U66" s="3" t="n">
        <v>40575</v>
      </c>
      <c r="V66" s="3"/>
      <c r="W66" s="3" t="s">
        <v>42</v>
      </c>
      <c r="X66" s="3" t="s">
        <v>43</v>
      </c>
    </row>
    <row r="67" customFormat="false" ht="135.75" hidden="false" customHeight="true" outlineLevel="0" collapsed="false">
      <c r="A67" s="3" t="s">
        <v>520</v>
      </c>
      <c r="B67" s="3" t="s">
        <v>521</v>
      </c>
      <c r="C67" s="3" t="s">
        <v>26</v>
      </c>
      <c r="D67" s="3" t="s">
        <v>27</v>
      </c>
      <c r="E67" s="3" t="s">
        <v>253</v>
      </c>
      <c r="F67" s="3" t="s">
        <v>522</v>
      </c>
      <c r="G67" s="4" t="s">
        <v>523</v>
      </c>
      <c r="H67" s="3" t="s">
        <v>31</v>
      </c>
      <c r="I67" s="3" t="s">
        <v>143</v>
      </c>
      <c r="J67" s="3" t="s">
        <v>128</v>
      </c>
      <c r="K67" s="3" t="s">
        <v>524</v>
      </c>
      <c r="L67" s="3" t="s">
        <v>525</v>
      </c>
      <c r="M67" s="3"/>
      <c r="N67" s="3" t="s">
        <v>36</v>
      </c>
      <c r="O67" s="3" t="s">
        <v>269</v>
      </c>
      <c r="P67" s="3" t="s">
        <v>526</v>
      </c>
      <c r="Q67" s="3" t="s">
        <v>39</v>
      </c>
      <c r="R67" s="3" t="s">
        <v>527</v>
      </c>
      <c r="S67" s="3"/>
      <c r="T67" s="3"/>
      <c r="U67" s="3" t="n">
        <v>40575</v>
      </c>
      <c r="V67" s="3"/>
      <c r="W67" s="3" t="s">
        <v>42</v>
      </c>
      <c r="X67" s="3" t="s">
        <v>43</v>
      </c>
    </row>
    <row r="68" customFormat="false" ht="79.5" hidden="false" customHeight="true" outlineLevel="0" collapsed="false">
      <c r="A68" s="3" t="s">
        <v>528</v>
      </c>
      <c r="B68" s="3" t="s">
        <v>529</v>
      </c>
      <c r="C68" s="3" t="s">
        <v>26</v>
      </c>
      <c r="D68" s="3" t="s">
        <v>27</v>
      </c>
      <c r="E68" s="3" t="s">
        <v>253</v>
      </c>
      <c r="F68" s="3" t="s">
        <v>530</v>
      </c>
      <c r="G68" s="4" t="s">
        <v>523</v>
      </c>
      <c r="H68" s="3" t="s">
        <v>31</v>
      </c>
      <c r="I68" s="3" t="s">
        <v>143</v>
      </c>
      <c r="J68" s="3" t="s">
        <v>128</v>
      </c>
      <c r="K68" s="3" t="s">
        <v>531</v>
      </c>
      <c r="L68" s="3" t="s">
        <v>532</v>
      </c>
      <c r="M68" s="3" t="n">
        <v>30</v>
      </c>
      <c r="N68" s="3" t="s">
        <v>103</v>
      </c>
      <c r="O68" s="3" t="s">
        <v>269</v>
      </c>
      <c r="P68" s="3" t="s">
        <v>533</v>
      </c>
      <c r="Q68" s="3" t="s">
        <v>50</v>
      </c>
      <c r="R68" s="3" t="s">
        <v>534</v>
      </c>
      <c r="S68" s="3" t="s">
        <v>520</v>
      </c>
      <c r="T68" s="3"/>
      <c r="U68" s="3" t="n">
        <v>40575</v>
      </c>
      <c r="V68" s="3"/>
      <c r="W68" s="3" t="s">
        <v>42</v>
      </c>
      <c r="X68" s="3" t="s">
        <v>43</v>
      </c>
    </row>
    <row r="69" customFormat="false" ht="68.25" hidden="false" customHeight="true" outlineLevel="0" collapsed="false">
      <c r="A69" s="3" t="s">
        <v>535</v>
      </c>
      <c r="B69" s="3" t="s">
        <v>536</v>
      </c>
      <c r="C69" s="3" t="s">
        <v>26</v>
      </c>
      <c r="D69" s="3" t="s">
        <v>27</v>
      </c>
      <c r="E69" s="3" t="s">
        <v>253</v>
      </c>
      <c r="F69" s="3" t="s">
        <v>537</v>
      </c>
      <c r="G69" s="4" t="s">
        <v>538</v>
      </c>
      <c r="H69" s="3" t="s">
        <v>31</v>
      </c>
      <c r="I69" s="3" t="s">
        <v>265</v>
      </c>
      <c r="J69" s="3" t="s">
        <v>128</v>
      </c>
      <c r="K69" s="3" t="s">
        <v>539</v>
      </c>
      <c r="L69" s="3" t="s">
        <v>540</v>
      </c>
      <c r="M69" s="3"/>
      <c r="N69" s="3" t="s">
        <v>36</v>
      </c>
      <c r="O69" s="3" t="s">
        <v>269</v>
      </c>
      <c r="P69" s="3" t="s">
        <v>541</v>
      </c>
      <c r="Q69" s="3" t="s">
        <v>50</v>
      </c>
      <c r="R69" s="3" t="s">
        <v>542</v>
      </c>
      <c r="S69" s="3"/>
      <c r="T69" s="3"/>
      <c r="U69" s="3" t="n">
        <v>31187</v>
      </c>
      <c r="V69" s="3"/>
      <c r="W69" s="3" t="s">
        <v>42</v>
      </c>
      <c r="X69" s="3" t="s">
        <v>43</v>
      </c>
    </row>
    <row r="70" customFormat="false" ht="102" hidden="false" customHeight="true" outlineLevel="0" collapsed="false">
      <c r="A70" s="3" t="s">
        <v>543</v>
      </c>
      <c r="B70" s="3" t="s">
        <v>544</v>
      </c>
      <c r="C70" s="3" t="s">
        <v>26</v>
      </c>
      <c r="D70" s="3" t="s">
        <v>27</v>
      </c>
      <c r="E70" s="3" t="s">
        <v>253</v>
      </c>
      <c r="F70" s="3" t="s">
        <v>545</v>
      </c>
      <c r="G70" s="4" t="s">
        <v>546</v>
      </c>
      <c r="H70" s="3" t="s">
        <v>31</v>
      </c>
      <c r="I70" s="3" t="s">
        <v>265</v>
      </c>
      <c r="J70" s="3" t="s">
        <v>128</v>
      </c>
      <c r="K70" s="3" t="s">
        <v>547</v>
      </c>
      <c r="L70" s="3" t="s">
        <v>548</v>
      </c>
      <c r="M70" s="3" t="n">
        <v>7</v>
      </c>
      <c r="N70" s="3" t="s">
        <v>71</v>
      </c>
      <c r="O70" s="3" t="s">
        <v>269</v>
      </c>
      <c r="P70" s="3" t="s">
        <v>549</v>
      </c>
      <c r="Q70" s="3" t="s">
        <v>39</v>
      </c>
      <c r="R70" s="3" t="s">
        <v>550</v>
      </c>
      <c r="S70" s="3"/>
      <c r="T70" s="3"/>
      <c r="U70" s="3" t="n">
        <v>31187</v>
      </c>
      <c r="V70" s="3"/>
      <c r="W70" s="3" t="s">
        <v>106</v>
      </c>
      <c r="X70" s="3" t="s">
        <v>97</v>
      </c>
    </row>
    <row r="71" customFormat="false" ht="68.25" hidden="false" customHeight="true" outlineLevel="0" collapsed="false">
      <c r="A71" s="3" t="s">
        <v>551</v>
      </c>
      <c r="B71" s="3" t="s">
        <v>552</v>
      </c>
      <c r="C71" s="3" t="s">
        <v>26</v>
      </c>
      <c r="D71" s="3" t="s">
        <v>27</v>
      </c>
      <c r="E71" s="3" t="s">
        <v>253</v>
      </c>
      <c r="F71" s="3" t="s">
        <v>553</v>
      </c>
      <c r="G71" s="4" t="s">
        <v>554</v>
      </c>
      <c r="H71" s="3" t="s">
        <v>31</v>
      </c>
      <c r="I71" s="3" t="s">
        <v>265</v>
      </c>
      <c r="J71" s="3" t="s">
        <v>128</v>
      </c>
      <c r="K71" s="3" t="s">
        <v>555</v>
      </c>
      <c r="L71" s="3" t="s">
        <v>556</v>
      </c>
      <c r="M71" s="3"/>
      <c r="N71" s="3" t="s">
        <v>36</v>
      </c>
      <c r="O71" s="3" t="s">
        <v>269</v>
      </c>
      <c r="P71" s="3" t="s">
        <v>557</v>
      </c>
      <c r="Q71" s="3" t="s">
        <v>39</v>
      </c>
      <c r="R71" s="3" t="s">
        <v>40</v>
      </c>
      <c r="S71" s="3"/>
      <c r="T71" s="3"/>
      <c r="U71" s="3" t="n">
        <v>40575</v>
      </c>
      <c r="V71" s="3"/>
      <c r="W71" s="3" t="s">
        <v>42</v>
      </c>
      <c r="X71" s="3" t="s">
        <v>43</v>
      </c>
    </row>
    <row r="72" customFormat="false" ht="102" hidden="false" customHeight="true" outlineLevel="0" collapsed="false">
      <c r="A72" s="3" t="s">
        <v>558</v>
      </c>
      <c r="B72" s="3" t="s">
        <v>559</v>
      </c>
      <c r="C72" s="3" t="s">
        <v>26</v>
      </c>
      <c r="D72" s="3" t="s">
        <v>27</v>
      </c>
      <c r="E72" s="3" t="s">
        <v>253</v>
      </c>
      <c r="F72" s="3" t="s">
        <v>560</v>
      </c>
      <c r="G72" s="4" t="s">
        <v>561</v>
      </c>
      <c r="H72" s="3" t="s">
        <v>31</v>
      </c>
      <c r="I72" s="3" t="s">
        <v>143</v>
      </c>
      <c r="J72" s="3" t="s">
        <v>128</v>
      </c>
      <c r="K72" s="3" t="s">
        <v>562</v>
      </c>
      <c r="L72" s="3" t="s">
        <v>563</v>
      </c>
      <c r="M72" s="3" t="n">
        <v>7</v>
      </c>
      <c r="N72" s="3" t="s">
        <v>103</v>
      </c>
      <c r="O72" s="3" t="s">
        <v>120</v>
      </c>
      <c r="P72" s="3" t="s">
        <v>564</v>
      </c>
      <c r="Q72" s="3" t="s">
        <v>39</v>
      </c>
      <c r="R72" s="3" t="s">
        <v>565</v>
      </c>
      <c r="S72" s="3"/>
      <c r="T72" s="3"/>
      <c r="U72" s="3" t="n">
        <v>31187</v>
      </c>
      <c r="V72" s="3"/>
      <c r="W72" s="3" t="s">
        <v>42</v>
      </c>
      <c r="X72" s="3" t="s">
        <v>43</v>
      </c>
    </row>
    <row r="73" customFormat="false" ht="79.5" hidden="false" customHeight="true" outlineLevel="0" collapsed="false">
      <c r="A73" s="3" t="s">
        <v>566</v>
      </c>
      <c r="B73" s="3" t="s">
        <v>567</v>
      </c>
      <c r="C73" s="3" t="s">
        <v>26</v>
      </c>
      <c r="D73" s="3" t="s">
        <v>27</v>
      </c>
      <c r="E73" s="3" t="s">
        <v>253</v>
      </c>
      <c r="F73" s="3" t="s">
        <v>568</v>
      </c>
      <c r="G73" s="4" t="s">
        <v>569</v>
      </c>
      <c r="H73" s="3" t="s">
        <v>31</v>
      </c>
      <c r="I73" s="3" t="s">
        <v>163</v>
      </c>
      <c r="J73" s="3" t="s">
        <v>128</v>
      </c>
      <c r="K73" s="3" t="s">
        <v>570</v>
      </c>
      <c r="L73" s="3" t="s">
        <v>571</v>
      </c>
      <c r="M73" s="3" t="n">
        <v>60</v>
      </c>
      <c r="N73" s="3" t="s">
        <v>103</v>
      </c>
      <c r="O73" s="3" t="s">
        <v>120</v>
      </c>
      <c r="P73" s="3" t="s">
        <v>572</v>
      </c>
      <c r="Q73" s="3" t="s">
        <v>39</v>
      </c>
      <c r="R73" s="3" t="s">
        <v>573</v>
      </c>
      <c r="S73" s="3"/>
      <c r="T73" s="3"/>
      <c r="U73" s="3" t="n">
        <v>40575</v>
      </c>
      <c r="V73" s="3"/>
      <c r="W73" s="3" t="s">
        <v>42</v>
      </c>
      <c r="X73" s="3" t="s">
        <v>43</v>
      </c>
    </row>
    <row r="74" customFormat="false" ht="102" hidden="false" customHeight="true" outlineLevel="0" collapsed="false">
      <c r="A74" s="3" t="s">
        <v>574</v>
      </c>
      <c r="B74" s="3" t="s">
        <v>575</v>
      </c>
      <c r="C74" s="3" t="s">
        <v>26</v>
      </c>
      <c r="D74" s="3" t="s">
        <v>27</v>
      </c>
      <c r="E74" s="3" t="s">
        <v>253</v>
      </c>
      <c r="F74" s="3" t="s">
        <v>576</v>
      </c>
      <c r="G74" s="4" t="s">
        <v>577</v>
      </c>
      <c r="H74" s="3" t="s">
        <v>31</v>
      </c>
      <c r="I74" s="3" t="s">
        <v>143</v>
      </c>
      <c r="J74" s="3" t="s">
        <v>128</v>
      </c>
      <c r="K74" s="3" t="s">
        <v>578</v>
      </c>
      <c r="L74" s="3" t="s">
        <v>579</v>
      </c>
      <c r="M74" s="3" t="n">
        <v>7</v>
      </c>
      <c r="N74" s="3" t="s">
        <v>103</v>
      </c>
      <c r="O74" s="3" t="s">
        <v>120</v>
      </c>
      <c r="P74" s="3" t="s">
        <v>580</v>
      </c>
      <c r="Q74" s="3" t="s">
        <v>39</v>
      </c>
      <c r="R74" s="3" t="s">
        <v>581</v>
      </c>
      <c r="S74" s="3"/>
      <c r="T74" s="3"/>
      <c r="U74" s="3" t="n">
        <v>31187</v>
      </c>
      <c r="V74" s="3"/>
      <c r="W74" s="3" t="s">
        <v>42</v>
      </c>
      <c r="X74" s="3" t="s">
        <v>43</v>
      </c>
    </row>
    <row r="75" customFormat="false" ht="68.25" hidden="false" customHeight="true" outlineLevel="0" collapsed="false">
      <c r="A75" s="3" t="s">
        <v>582</v>
      </c>
      <c r="B75" s="3" t="s">
        <v>583</v>
      </c>
      <c r="C75" s="3" t="s">
        <v>26</v>
      </c>
      <c r="D75" s="3" t="s">
        <v>27</v>
      </c>
      <c r="E75" s="3" t="s">
        <v>28</v>
      </c>
      <c r="F75" s="3" t="s">
        <v>584</v>
      </c>
      <c r="G75" s="4" t="s">
        <v>585</v>
      </c>
      <c r="H75" s="3" t="s">
        <v>31</v>
      </c>
      <c r="I75" s="3" t="s">
        <v>32</v>
      </c>
      <c r="J75" s="3" t="s">
        <v>128</v>
      </c>
      <c r="K75" s="3" t="s">
        <v>586</v>
      </c>
      <c r="L75" s="3" t="s">
        <v>587</v>
      </c>
      <c r="M75" s="3"/>
      <c r="N75" s="3" t="s">
        <v>36</v>
      </c>
      <c r="O75" s="3" t="s">
        <v>94</v>
      </c>
      <c r="P75" s="3" t="s">
        <v>588</v>
      </c>
      <c r="Q75" s="3" t="s">
        <v>39</v>
      </c>
      <c r="R75" s="3" t="s">
        <v>40</v>
      </c>
      <c r="S75" s="3"/>
      <c r="T75" s="3"/>
      <c r="U75" s="3" t="n">
        <v>40848</v>
      </c>
      <c r="V75" s="3"/>
      <c r="W75" s="3" t="s">
        <v>42</v>
      </c>
      <c r="X75" s="3" t="s">
        <v>43</v>
      </c>
    </row>
    <row r="76" customFormat="false" ht="57" hidden="false" customHeight="true" outlineLevel="0" collapsed="false">
      <c r="A76" s="3" t="s">
        <v>589</v>
      </c>
      <c r="B76" s="3" t="s">
        <v>590</v>
      </c>
      <c r="C76" s="3" t="s">
        <v>26</v>
      </c>
      <c r="D76" s="3" t="s">
        <v>27</v>
      </c>
      <c r="E76" s="3" t="s">
        <v>28</v>
      </c>
      <c r="F76" s="3" t="s">
        <v>591</v>
      </c>
      <c r="G76" s="4" t="s">
        <v>585</v>
      </c>
      <c r="H76" s="3" t="s">
        <v>31</v>
      </c>
      <c r="I76" s="3" t="s">
        <v>32</v>
      </c>
      <c r="J76" s="3" t="s">
        <v>128</v>
      </c>
      <c r="K76" s="3" t="s">
        <v>586</v>
      </c>
      <c r="L76" s="3" t="s">
        <v>592</v>
      </c>
      <c r="M76" s="3"/>
      <c r="N76" s="3" t="s">
        <v>36</v>
      </c>
      <c r="O76" s="3" t="s">
        <v>94</v>
      </c>
      <c r="P76" s="3" t="s">
        <v>593</v>
      </c>
      <c r="Q76" s="3" t="s">
        <v>39</v>
      </c>
      <c r="R76" s="3" t="s">
        <v>594</v>
      </c>
      <c r="S76" s="3"/>
      <c r="T76" s="3"/>
      <c r="U76" s="3" t="n">
        <v>42185</v>
      </c>
      <c r="V76" s="3"/>
      <c r="W76" s="3" t="s">
        <v>42</v>
      </c>
      <c r="X76" s="3" t="s">
        <v>43</v>
      </c>
    </row>
    <row r="77" customFormat="false" ht="68.25" hidden="false" customHeight="true" outlineLevel="0" collapsed="false">
      <c r="A77" s="3" t="s">
        <v>595</v>
      </c>
      <c r="B77" s="3" t="s">
        <v>596</v>
      </c>
      <c r="C77" s="3" t="s">
        <v>26</v>
      </c>
      <c r="D77" s="3" t="s">
        <v>27</v>
      </c>
      <c r="E77" s="3" t="s">
        <v>28</v>
      </c>
      <c r="F77" s="3" t="s">
        <v>597</v>
      </c>
      <c r="G77" s="4" t="s">
        <v>585</v>
      </c>
      <c r="H77" s="3" t="s">
        <v>31</v>
      </c>
      <c r="I77" s="3" t="s">
        <v>32</v>
      </c>
      <c r="J77" s="3" t="s">
        <v>128</v>
      </c>
      <c r="K77" s="3" t="s">
        <v>598</v>
      </c>
      <c r="L77" s="3" t="s">
        <v>599</v>
      </c>
      <c r="M77" s="3"/>
      <c r="N77" s="3" t="s">
        <v>36</v>
      </c>
      <c r="O77" s="3" t="s">
        <v>94</v>
      </c>
      <c r="P77" s="3" t="s">
        <v>600</v>
      </c>
      <c r="Q77" s="3" t="s">
        <v>39</v>
      </c>
      <c r="R77" s="3" t="s">
        <v>40</v>
      </c>
      <c r="S77" s="3"/>
      <c r="T77" s="3"/>
      <c r="U77" s="3" t="n">
        <v>40848</v>
      </c>
      <c r="V77" s="3"/>
      <c r="W77" s="3" t="s">
        <v>42</v>
      </c>
      <c r="X77" s="3" t="s">
        <v>43</v>
      </c>
    </row>
    <row r="78" customFormat="false" ht="79.5" hidden="false" customHeight="true" outlineLevel="0" collapsed="false">
      <c r="A78" s="3" t="s">
        <v>601</v>
      </c>
      <c r="B78" s="3" t="s">
        <v>602</v>
      </c>
      <c r="C78" s="3" t="s">
        <v>26</v>
      </c>
      <c r="D78" s="3" t="s">
        <v>27</v>
      </c>
      <c r="E78" s="3" t="s">
        <v>28</v>
      </c>
      <c r="F78" s="3" t="s">
        <v>603</v>
      </c>
      <c r="G78" s="4" t="s">
        <v>604</v>
      </c>
      <c r="H78" s="3" t="s">
        <v>31</v>
      </c>
      <c r="I78" s="3" t="s">
        <v>32</v>
      </c>
      <c r="J78" s="3" t="s">
        <v>128</v>
      </c>
      <c r="K78" s="3" t="s">
        <v>605</v>
      </c>
      <c r="L78" s="3" t="s">
        <v>606</v>
      </c>
      <c r="M78" s="3"/>
      <c r="N78" s="3" t="s">
        <v>36</v>
      </c>
      <c r="O78" s="3" t="s">
        <v>56</v>
      </c>
      <c r="P78" s="3" t="s">
        <v>607</v>
      </c>
      <c r="Q78" s="3" t="s">
        <v>39</v>
      </c>
      <c r="R78" s="3" t="s">
        <v>608</v>
      </c>
      <c r="S78" s="3"/>
      <c r="T78" s="3"/>
      <c r="U78" s="3" t="n">
        <v>40848</v>
      </c>
      <c r="V78" s="3"/>
      <c r="W78" s="3" t="s">
        <v>42</v>
      </c>
      <c r="X78" s="3" t="s">
        <v>43</v>
      </c>
    </row>
    <row r="79" customFormat="false" ht="68.25" hidden="false" customHeight="true" outlineLevel="0" collapsed="false">
      <c r="A79" s="3" t="s">
        <v>609</v>
      </c>
      <c r="B79" s="3" t="s">
        <v>610</v>
      </c>
      <c r="C79" s="3" t="s">
        <v>26</v>
      </c>
      <c r="D79" s="3" t="s">
        <v>27</v>
      </c>
      <c r="E79" s="3" t="s">
        <v>28</v>
      </c>
      <c r="F79" s="3" t="s">
        <v>611</v>
      </c>
      <c r="G79" s="4" t="s">
        <v>612</v>
      </c>
      <c r="H79" s="3" t="s">
        <v>31</v>
      </c>
      <c r="I79" s="3" t="s">
        <v>32</v>
      </c>
      <c r="J79" s="3" t="s">
        <v>128</v>
      </c>
      <c r="K79" s="3" t="s">
        <v>613</v>
      </c>
      <c r="L79" s="3" t="s">
        <v>614</v>
      </c>
      <c r="M79" s="3" t="n">
        <v>30</v>
      </c>
      <c r="N79" s="3" t="s">
        <v>71</v>
      </c>
      <c r="O79" s="3" t="s">
        <v>56</v>
      </c>
      <c r="P79" s="3" t="s">
        <v>615</v>
      </c>
      <c r="Q79" s="3" t="s">
        <v>39</v>
      </c>
      <c r="R79" s="3" t="s">
        <v>616</v>
      </c>
      <c r="S79" s="3"/>
      <c r="T79" s="3"/>
      <c r="U79" s="3" t="n">
        <v>40848</v>
      </c>
      <c r="V79" s="3"/>
      <c r="W79" s="3" t="s">
        <v>42</v>
      </c>
      <c r="X79" s="3" t="s">
        <v>43</v>
      </c>
    </row>
    <row r="80" customFormat="false" ht="90.75" hidden="false" customHeight="true" outlineLevel="0" collapsed="false">
      <c r="A80" s="3" t="s">
        <v>617</v>
      </c>
      <c r="B80" s="3" t="s">
        <v>618</v>
      </c>
      <c r="C80" s="3" t="s">
        <v>26</v>
      </c>
      <c r="D80" s="3" t="s">
        <v>27</v>
      </c>
      <c r="E80" s="3" t="s">
        <v>28</v>
      </c>
      <c r="F80" s="3" t="s">
        <v>619</v>
      </c>
      <c r="G80" s="4" t="s">
        <v>620</v>
      </c>
      <c r="H80" s="3" t="s">
        <v>31</v>
      </c>
      <c r="I80" s="3" t="s">
        <v>32</v>
      </c>
      <c r="J80" s="3" t="s">
        <v>128</v>
      </c>
      <c r="K80" s="3" t="s">
        <v>621</v>
      </c>
      <c r="L80" s="3" t="s">
        <v>622</v>
      </c>
      <c r="M80" s="3"/>
      <c r="N80" s="3" t="s">
        <v>36</v>
      </c>
      <c r="O80" s="3" t="s">
        <v>94</v>
      </c>
      <c r="P80" s="3" t="s">
        <v>623</v>
      </c>
      <c r="Q80" s="3" t="s">
        <v>39</v>
      </c>
      <c r="R80" s="3" t="s">
        <v>624</v>
      </c>
      <c r="S80" s="3"/>
      <c r="T80" s="3"/>
      <c r="U80" s="3" t="n">
        <v>42551</v>
      </c>
      <c r="V80" s="3"/>
      <c r="W80" s="3" t="s">
        <v>106</v>
      </c>
      <c r="X80" s="3" t="s">
        <v>43</v>
      </c>
    </row>
    <row r="81" customFormat="false" ht="46.25" hidden="false" customHeight="false" outlineLevel="0" collapsed="false">
      <c r="A81" s="3" t="s">
        <v>625</v>
      </c>
      <c r="B81" s="3" t="s">
        <v>626</v>
      </c>
      <c r="C81" s="3" t="s">
        <v>26</v>
      </c>
      <c r="D81" s="3" t="s">
        <v>27</v>
      </c>
      <c r="E81" s="3" t="s">
        <v>124</v>
      </c>
      <c r="F81" s="3" t="s">
        <v>627</v>
      </c>
      <c r="G81" s="4" t="s">
        <v>628</v>
      </c>
      <c r="H81" s="3" t="s">
        <v>31</v>
      </c>
      <c r="I81" s="3" t="s">
        <v>127</v>
      </c>
      <c r="J81" s="3" t="s">
        <v>128</v>
      </c>
      <c r="K81" s="3" t="s">
        <v>629</v>
      </c>
      <c r="L81" s="3" t="s">
        <v>630</v>
      </c>
      <c r="M81" s="3"/>
      <c r="N81" s="3" t="s">
        <v>36</v>
      </c>
      <c r="O81" s="3" t="s">
        <v>120</v>
      </c>
      <c r="P81" s="3" t="s">
        <v>631</v>
      </c>
      <c r="Q81" s="3" t="s">
        <v>39</v>
      </c>
      <c r="R81" s="3" t="s">
        <v>40</v>
      </c>
      <c r="S81" s="3"/>
      <c r="T81" s="3"/>
      <c r="U81" s="3" t="n">
        <v>41730</v>
      </c>
      <c r="V81" s="3"/>
      <c r="W81" s="3" t="s">
        <v>42</v>
      </c>
      <c r="X81" s="3" t="s">
        <v>43</v>
      </c>
    </row>
    <row r="82" customFormat="false" ht="46.25" hidden="false" customHeight="false" outlineLevel="0" collapsed="false">
      <c r="A82" s="3" t="s">
        <v>632</v>
      </c>
      <c r="B82" s="3" t="s">
        <v>633</v>
      </c>
      <c r="C82" s="3" t="s">
        <v>26</v>
      </c>
      <c r="D82" s="3" t="s">
        <v>27</v>
      </c>
      <c r="E82" s="3" t="s">
        <v>124</v>
      </c>
      <c r="F82" s="3" t="s">
        <v>634</v>
      </c>
      <c r="G82" s="4" t="s">
        <v>635</v>
      </c>
      <c r="H82" s="3" t="s">
        <v>31</v>
      </c>
      <c r="I82" s="3" t="s">
        <v>127</v>
      </c>
      <c r="J82" s="3" t="s">
        <v>128</v>
      </c>
      <c r="K82" s="3" t="s">
        <v>636</v>
      </c>
      <c r="L82" s="3" t="s">
        <v>637</v>
      </c>
      <c r="M82" s="3"/>
      <c r="N82" s="3" t="s">
        <v>36</v>
      </c>
      <c r="O82" s="3" t="s">
        <v>94</v>
      </c>
      <c r="P82" s="3" t="s">
        <v>638</v>
      </c>
      <c r="Q82" s="3" t="s">
        <v>39</v>
      </c>
      <c r="R82" s="3" t="s">
        <v>40</v>
      </c>
      <c r="S82" s="3"/>
      <c r="T82" s="3"/>
      <c r="U82" s="3" t="n">
        <v>41730</v>
      </c>
      <c r="V82" s="3"/>
      <c r="W82" s="3" t="s">
        <v>42</v>
      </c>
      <c r="X82" s="3" t="s">
        <v>43</v>
      </c>
    </row>
    <row r="83" customFormat="false" ht="57.45" hidden="false" customHeight="false" outlineLevel="0" collapsed="false">
      <c r="A83" s="3" t="s">
        <v>639</v>
      </c>
      <c r="B83" s="3" t="s">
        <v>640</v>
      </c>
      <c r="C83" s="3" t="s">
        <v>26</v>
      </c>
      <c r="D83" s="3" t="s">
        <v>27</v>
      </c>
      <c r="E83" s="3" t="s">
        <v>124</v>
      </c>
      <c r="F83" s="3" t="s">
        <v>641</v>
      </c>
      <c r="G83" s="4" t="s">
        <v>642</v>
      </c>
      <c r="H83" s="3" t="s">
        <v>31</v>
      </c>
      <c r="I83" s="3" t="s">
        <v>143</v>
      </c>
      <c r="J83" s="3" t="s">
        <v>128</v>
      </c>
      <c r="K83" s="3" t="s">
        <v>643</v>
      </c>
      <c r="L83" s="3" t="s">
        <v>644</v>
      </c>
      <c r="M83" s="3" t="n">
        <v>7</v>
      </c>
      <c r="N83" s="3" t="s">
        <v>71</v>
      </c>
      <c r="O83" s="3" t="s">
        <v>56</v>
      </c>
      <c r="P83" s="3" t="s">
        <v>645</v>
      </c>
      <c r="Q83" s="3" t="s">
        <v>39</v>
      </c>
      <c r="R83" s="3" t="s">
        <v>40</v>
      </c>
      <c r="S83" s="3"/>
      <c r="T83" s="3"/>
      <c r="U83" s="3" t="n">
        <v>41730</v>
      </c>
      <c r="V83" s="3"/>
      <c r="W83" s="3" t="s">
        <v>42</v>
      </c>
      <c r="X83" s="3" t="s">
        <v>97</v>
      </c>
    </row>
    <row r="84" customFormat="false" ht="91" hidden="false" customHeight="false" outlineLevel="0" collapsed="false">
      <c r="A84" s="3" t="s">
        <v>646</v>
      </c>
      <c r="B84" s="3" t="s">
        <v>647</v>
      </c>
      <c r="C84" s="3" t="s">
        <v>26</v>
      </c>
      <c r="D84" s="3" t="s">
        <v>27</v>
      </c>
      <c r="E84" s="3" t="s">
        <v>124</v>
      </c>
      <c r="F84" s="3" t="s">
        <v>648</v>
      </c>
      <c r="G84" s="4" t="s">
        <v>649</v>
      </c>
      <c r="H84" s="3" t="s">
        <v>31</v>
      </c>
      <c r="I84" s="3" t="s">
        <v>143</v>
      </c>
      <c r="J84" s="3" t="s">
        <v>128</v>
      </c>
      <c r="K84" s="3" t="s">
        <v>650</v>
      </c>
      <c r="L84" s="3" t="s">
        <v>651</v>
      </c>
      <c r="M84" s="3"/>
      <c r="N84" s="3" t="s">
        <v>36</v>
      </c>
      <c r="O84" s="3" t="s">
        <v>269</v>
      </c>
      <c r="P84" s="3" t="s">
        <v>652</v>
      </c>
      <c r="Q84" s="3" t="s">
        <v>39</v>
      </c>
      <c r="R84" s="3" t="s">
        <v>653</v>
      </c>
      <c r="S84" s="3"/>
      <c r="T84" s="3"/>
      <c r="U84" s="3" t="n">
        <v>41730</v>
      </c>
      <c r="V84" s="3"/>
      <c r="W84" s="3" t="s">
        <v>42</v>
      </c>
      <c r="X84" s="3" t="s">
        <v>43</v>
      </c>
    </row>
    <row r="85" customFormat="false" ht="57.45" hidden="false" customHeight="false" outlineLevel="0" collapsed="false">
      <c r="A85" s="3" t="s">
        <v>654</v>
      </c>
      <c r="B85" s="3" t="s">
        <v>655</v>
      </c>
      <c r="C85" s="3" t="s">
        <v>26</v>
      </c>
      <c r="D85" s="3" t="s">
        <v>27</v>
      </c>
      <c r="E85" s="3" t="s">
        <v>124</v>
      </c>
      <c r="F85" s="3" t="s">
        <v>656</v>
      </c>
      <c r="G85" s="4" t="s">
        <v>657</v>
      </c>
      <c r="H85" s="3" t="s">
        <v>31</v>
      </c>
      <c r="I85" s="3" t="s">
        <v>143</v>
      </c>
      <c r="J85" s="3" t="s">
        <v>658</v>
      </c>
      <c r="K85" s="3" t="s">
        <v>659</v>
      </c>
      <c r="L85" s="3" t="s">
        <v>660</v>
      </c>
      <c r="M85" s="3"/>
      <c r="N85" s="3" t="s">
        <v>36</v>
      </c>
      <c r="O85" s="3" t="s">
        <v>56</v>
      </c>
      <c r="P85" s="3" t="s">
        <v>661</v>
      </c>
      <c r="Q85" s="3" t="s">
        <v>39</v>
      </c>
      <c r="R85" s="3" t="s">
        <v>40</v>
      </c>
      <c r="S85" s="3"/>
      <c r="T85" s="3"/>
      <c r="U85" s="3" t="n">
        <v>41947</v>
      </c>
      <c r="V85" s="3"/>
      <c r="W85" s="3" t="s">
        <v>42</v>
      </c>
      <c r="X85" s="3" t="s">
        <v>43</v>
      </c>
    </row>
    <row r="86" customFormat="false" ht="91" hidden="false" customHeight="false" outlineLevel="0" collapsed="false">
      <c r="A86" s="3" t="s">
        <v>662</v>
      </c>
      <c r="B86" s="3" t="s">
        <v>663</v>
      </c>
      <c r="C86" s="3" t="s">
        <v>26</v>
      </c>
      <c r="D86" s="3" t="s">
        <v>27</v>
      </c>
      <c r="E86" s="3" t="s">
        <v>124</v>
      </c>
      <c r="F86" s="3" t="s">
        <v>664</v>
      </c>
      <c r="G86" s="4" t="s">
        <v>657</v>
      </c>
      <c r="H86" s="3" t="s">
        <v>31</v>
      </c>
      <c r="I86" s="3" t="s">
        <v>143</v>
      </c>
      <c r="J86" s="3" t="s">
        <v>128</v>
      </c>
      <c r="K86" s="3" t="s">
        <v>665</v>
      </c>
      <c r="L86" s="3" t="s">
        <v>666</v>
      </c>
      <c r="M86" s="3"/>
      <c r="N86" s="3" t="s">
        <v>36</v>
      </c>
      <c r="O86" s="3" t="s">
        <v>56</v>
      </c>
      <c r="P86" s="3" t="s">
        <v>667</v>
      </c>
      <c r="Q86" s="3" t="s">
        <v>39</v>
      </c>
      <c r="R86" s="3" t="s">
        <v>40</v>
      </c>
      <c r="S86" s="3"/>
      <c r="T86" s="3"/>
      <c r="U86" s="3" t="n">
        <v>41947</v>
      </c>
      <c r="V86" s="3"/>
      <c r="W86" s="3" t="s">
        <v>42</v>
      </c>
      <c r="X86" s="3" t="s">
        <v>43</v>
      </c>
    </row>
    <row r="87" customFormat="false" ht="79.85" hidden="false" customHeight="false" outlineLevel="0" collapsed="false">
      <c r="A87" s="3" t="s">
        <v>668</v>
      </c>
      <c r="B87" s="3" t="s">
        <v>669</v>
      </c>
      <c r="C87" s="3" t="s">
        <v>26</v>
      </c>
      <c r="D87" s="3" t="s">
        <v>27</v>
      </c>
      <c r="E87" s="3" t="s">
        <v>28</v>
      </c>
      <c r="F87" s="3" t="s">
        <v>670</v>
      </c>
      <c r="G87" s="4" t="s">
        <v>671</v>
      </c>
      <c r="H87" s="3" t="s">
        <v>31</v>
      </c>
      <c r="I87" s="3" t="s">
        <v>32</v>
      </c>
      <c r="J87" s="3" t="s">
        <v>33</v>
      </c>
      <c r="K87" s="3" t="s">
        <v>672</v>
      </c>
      <c r="L87" s="3" t="s">
        <v>673</v>
      </c>
      <c r="M87" s="3"/>
      <c r="N87" s="3" t="s">
        <v>36</v>
      </c>
      <c r="O87" s="3" t="s">
        <v>37</v>
      </c>
      <c r="P87" s="3" t="s">
        <v>674</v>
      </c>
      <c r="Q87" s="3" t="s">
        <v>39</v>
      </c>
      <c r="R87" s="3" t="s">
        <v>675</v>
      </c>
      <c r="S87" s="3"/>
      <c r="T87" s="3"/>
      <c r="U87" s="3" t="n">
        <v>43556</v>
      </c>
      <c r="V87" s="3"/>
      <c r="W87" s="3" t="s">
        <v>42</v>
      </c>
      <c r="X87" s="3" t="s">
        <v>43</v>
      </c>
    </row>
    <row r="88" customFormat="false" ht="68.65" hidden="false" customHeight="false" outlineLevel="0" collapsed="false">
      <c r="A88" s="3" t="s">
        <v>676</v>
      </c>
      <c r="B88" s="3" t="s">
        <v>677</v>
      </c>
      <c r="C88" s="3" t="s">
        <v>26</v>
      </c>
      <c r="D88" s="3" t="s">
        <v>27</v>
      </c>
      <c r="E88" s="3" t="s">
        <v>28</v>
      </c>
      <c r="F88" s="3" t="s">
        <v>678</v>
      </c>
      <c r="G88" s="4" t="s">
        <v>679</v>
      </c>
      <c r="H88" s="3" t="s">
        <v>31</v>
      </c>
      <c r="I88" s="3" t="s">
        <v>32</v>
      </c>
      <c r="J88" s="3" t="s">
        <v>33</v>
      </c>
      <c r="K88" s="3" t="s">
        <v>680</v>
      </c>
      <c r="L88" s="3" t="s">
        <v>681</v>
      </c>
      <c r="M88" s="3"/>
      <c r="N88" s="3" t="s">
        <v>36</v>
      </c>
      <c r="O88" s="3" t="s">
        <v>120</v>
      </c>
      <c r="P88" s="3" t="s">
        <v>682</v>
      </c>
      <c r="Q88" s="3" t="s">
        <v>39</v>
      </c>
      <c r="R88" s="3" t="s">
        <v>40</v>
      </c>
      <c r="S88" s="3" t="s">
        <v>98</v>
      </c>
      <c r="T88" s="3"/>
      <c r="U88" s="3" t="n">
        <v>42551</v>
      </c>
      <c r="V88" s="3"/>
      <c r="W88" s="3" t="s">
        <v>42</v>
      </c>
      <c r="X88" s="3" t="s">
        <v>43</v>
      </c>
    </row>
    <row r="89" customFormat="false" ht="57.45" hidden="false" customHeight="false" outlineLevel="0" collapsed="false">
      <c r="A89" s="3" t="s">
        <v>683</v>
      </c>
      <c r="B89" s="3" t="s">
        <v>684</v>
      </c>
      <c r="C89" s="3" t="s">
        <v>26</v>
      </c>
      <c r="D89" s="3" t="s">
        <v>27</v>
      </c>
      <c r="E89" s="3" t="s">
        <v>28</v>
      </c>
      <c r="F89" s="3" t="s">
        <v>685</v>
      </c>
      <c r="G89" s="4" t="s">
        <v>686</v>
      </c>
      <c r="H89" s="3" t="s">
        <v>31</v>
      </c>
      <c r="I89" s="3" t="s">
        <v>32</v>
      </c>
      <c r="J89" s="3" t="s">
        <v>33</v>
      </c>
      <c r="K89" s="3" t="s">
        <v>687</v>
      </c>
      <c r="L89" s="3" t="s">
        <v>688</v>
      </c>
      <c r="M89" s="3" t="n">
        <v>14</v>
      </c>
      <c r="N89" s="3" t="s">
        <v>103</v>
      </c>
      <c r="O89" s="3" t="s">
        <v>269</v>
      </c>
      <c r="P89" s="3" t="s">
        <v>689</v>
      </c>
      <c r="Q89" s="3" t="s">
        <v>39</v>
      </c>
      <c r="R89" s="3" t="s">
        <v>690</v>
      </c>
      <c r="S89" s="3"/>
      <c r="T89" s="3"/>
      <c r="U89" s="3" t="n">
        <v>40848</v>
      </c>
      <c r="V89" s="3"/>
      <c r="W89" s="3" t="s">
        <v>42</v>
      </c>
      <c r="X89" s="3" t="s">
        <v>43</v>
      </c>
    </row>
    <row r="90" customFormat="false" ht="57.45" hidden="false" customHeight="false" outlineLevel="0" collapsed="false">
      <c r="A90" s="3" t="s">
        <v>691</v>
      </c>
      <c r="B90" s="3" t="s">
        <v>692</v>
      </c>
      <c r="C90" s="3" t="s">
        <v>26</v>
      </c>
      <c r="D90" s="3" t="s">
        <v>27</v>
      </c>
      <c r="E90" s="3" t="s">
        <v>28</v>
      </c>
      <c r="F90" s="3" t="s">
        <v>693</v>
      </c>
      <c r="G90" s="4" t="s">
        <v>694</v>
      </c>
      <c r="H90" s="3" t="s">
        <v>31</v>
      </c>
      <c r="I90" s="3" t="s">
        <v>32</v>
      </c>
      <c r="J90" s="3" t="s">
        <v>33</v>
      </c>
      <c r="K90" s="3" t="s">
        <v>695</v>
      </c>
      <c r="L90" s="3" t="s">
        <v>696</v>
      </c>
      <c r="M90" s="3"/>
      <c r="N90" s="3" t="s">
        <v>36</v>
      </c>
      <c r="O90" s="3" t="s">
        <v>269</v>
      </c>
      <c r="P90" s="3" t="s">
        <v>697</v>
      </c>
      <c r="Q90" s="3" t="s">
        <v>39</v>
      </c>
      <c r="R90" s="3" t="s">
        <v>698</v>
      </c>
      <c r="S90" s="3"/>
      <c r="T90" s="3"/>
      <c r="U90" s="3" t="n">
        <v>40848</v>
      </c>
      <c r="V90" s="3"/>
      <c r="W90" s="3" t="s">
        <v>42</v>
      </c>
      <c r="X90" s="3" t="s">
        <v>43</v>
      </c>
    </row>
    <row r="91" customFormat="false" ht="57.45" hidden="false" customHeight="false" outlineLevel="0" collapsed="false">
      <c r="A91" s="3" t="s">
        <v>699</v>
      </c>
      <c r="B91" s="3" t="s">
        <v>700</v>
      </c>
      <c r="C91" s="3" t="s">
        <v>26</v>
      </c>
      <c r="D91" s="3" t="s">
        <v>27</v>
      </c>
      <c r="E91" s="3" t="s">
        <v>374</v>
      </c>
      <c r="F91" s="3" t="s">
        <v>701</v>
      </c>
      <c r="G91" s="4" t="s">
        <v>403</v>
      </c>
      <c r="H91" s="3" t="s">
        <v>31</v>
      </c>
      <c r="I91" s="3" t="s">
        <v>127</v>
      </c>
      <c r="J91" s="3" t="s">
        <v>33</v>
      </c>
      <c r="K91" s="3" t="s">
        <v>702</v>
      </c>
      <c r="L91" s="3" t="s">
        <v>703</v>
      </c>
      <c r="M91" s="3"/>
      <c r="N91" s="3" t="s">
        <v>36</v>
      </c>
      <c r="O91" s="3" t="s">
        <v>56</v>
      </c>
      <c r="P91" s="3" t="s">
        <v>704</v>
      </c>
      <c r="Q91" s="3" t="s">
        <v>39</v>
      </c>
      <c r="R91" s="3" t="s">
        <v>40</v>
      </c>
      <c r="S91" s="3" t="s">
        <v>122</v>
      </c>
      <c r="T91" s="3"/>
      <c r="U91" s="3" t="n">
        <v>45138</v>
      </c>
      <c r="V91" s="3"/>
      <c r="W91" s="3" t="s">
        <v>42</v>
      </c>
      <c r="X91" s="3" t="s">
        <v>43</v>
      </c>
    </row>
    <row r="92" customFormat="false" ht="57.45" hidden="false" customHeight="false" outlineLevel="0" collapsed="false">
      <c r="A92" s="3" t="s">
        <v>705</v>
      </c>
      <c r="B92" s="3" t="s">
        <v>706</v>
      </c>
      <c r="C92" s="3" t="s">
        <v>26</v>
      </c>
      <c r="D92" s="3" t="s">
        <v>27</v>
      </c>
      <c r="E92" s="3" t="s">
        <v>374</v>
      </c>
      <c r="F92" s="3" t="s">
        <v>707</v>
      </c>
      <c r="G92" s="4" t="s">
        <v>384</v>
      </c>
      <c r="H92" s="3" t="s">
        <v>31</v>
      </c>
      <c r="I92" s="3" t="s">
        <v>127</v>
      </c>
      <c r="J92" s="3" t="s">
        <v>33</v>
      </c>
      <c r="K92" s="3" t="s">
        <v>708</v>
      </c>
      <c r="L92" s="3" t="s">
        <v>709</v>
      </c>
      <c r="M92" s="3"/>
      <c r="N92" s="3" t="s">
        <v>36</v>
      </c>
      <c r="O92" s="3" t="s">
        <v>56</v>
      </c>
      <c r="P92" s="3" t="s">
        <v>710</v>
      </c>
      <c r="Q92" s="3" t="s">
        <v>39</v>
      </c>
      <c r="R92" s="3" t="s">
        <v>40</v>
      </c>
      <c r="S92" s="3" t="s">
        <v>199</v>
      </c>
      <c r="T92" s="3"/>
      <c r="U92" s="3" t="n">
        <v>45138</v>
      </c>
      <c r="V92" s="3"/>
      <c r="W92" s="3" t="s">
        <v>42</v>
      </c>
      <c r="X92" s="3" t="s">
        <v>43</v>
      </c>
    </row>
    <row r="93" customFormat="false" ht="57.45" hidden="false" customHeight="false" outlineLevel="0" collapsed="false">
      <c r="A93" s="3" t="s">
        <v>711</v>
      </c>
      <c r="B93" s="3" t="s">
        <v>712</v>
      </c>
      <c r="C93" s="3" t="s">
        <v>26</v>
      </c>
      <c r="D93" s="3" t="s">
        <v>27</v>
      </c>
      <c r="E93" s="3" t="s">
        <v>374</v>
      </c>
      <c r="F93" s="3" t="s">
        <v>713</v>
      </c>
      <c r="G93" s="4" t="s">
        <v>419</v>
      </c>
      <c r="H93" s="3" t="s">
        <v>31</v>
      </c>
      <c r="I93" s="3" t="s">
        <v>127</v>
      </c>
      <c r="J93" s="3" t="s">
        <v>33</v>
      </c>
      <c r="K93" s="3" t="s">
        <v>714</v>
      </c>
      <c r="L93" s="3" t="s">
        <v>715</v>
      </c>
      <c r="M93" s="3"/>
      <c r="N93" s="3" t="s">
        <v>36</v>
      </c>
      <c r="O93" s="3" t="s">
        <v>120</v>
      </c>
      <c r="P93" s="3" t="s">
        <v>716</v>
      </c>
      <c r="Q93" s="3" t="s">
        <v>39</v>
      </c>
      <c r="R93" s="3" t="s">
        <v>40</v>
      </c>
      <c r="S93" s="3" t="s">
        <v>458</v>
      </c>
      <c r="T93" s="3"/>
      <c r="U93" s="3" t="n">
        <v>45138</v>
      </c>
      <c r="V93" s="3"/>
      <c r="W93" s="3" t="s">
        <v>42</v>
      </c>
      <c r="X93" s="3" t="s">
        <v>43</v>
      </c>
    </row>
    <row r="94" customFormat="false" ht="57.45" hidden="false" customHeight="false" outlineLevel="0" collapsed="false">
      <c r="A94" s="3" t="s">
        <v>717</v>
      </c>
      <c r="B94" s="3" t="s">
        <v>718</v>
      </c>
      <c r="C94" s="3" t="s">
        <v>26</v>
      </c>
      <c r="D94" s="3" t="s">
        <v>27</v>
      </c>
      <c r="E94" s="3" t="s">
        <v>374</v>
      </c>
      <c r="F94" s="3" t="s">
        <v>719</v>
      </c>
      <c r="G94" s="4" t="s">
        <v>384</v>
      </c>
      <c r="H94" s="3" t="s">
        <v>31</v>
      </c>
      <c r="I94" s="3" t="s">
        <v>32</v>
      </c>
      <c r="J94" s="3" t="s">
        <v>33</v>
      </c>
      <c r="K94" s="3" t="s">
        <v>720</v>
      </c>
      <c r="L94" s="3" t="s">
        <v>721</v>
      </c>
      <c r="M94" s="3"/>
      <c r="N94" s="3" t="s">
        <v>36</v>
      </c>
      <c r="O94" s="3" t="s">
        <v>37</v>
      </c>
      <c r="P94" s="3" t="s">
        <v>722</v>
      </c>
      <c r="Q94" s="3" t="s">
        <v>39</v>
      </c>
      <c r="R94" s="3" t="s">
        <v>40</v>
      </c>
      <c r="S94" s="3" t="s">
        <v>24</v>
      </c>
      <c r="T94" s="3"/>
      <c r="U94" s="3" t="n">
        <v>45138</v>
      </c>
      <c r="V94" s="3"/>
      <c r="W94" s="3" t="s">
        <v>42</v>
      </c>
      <c r="X94" s="3" t="s">
        <v>43</v>
      </c>
    </row>
    <row r="95" customFormat="false" ht="57.45" hidden="false" customHeight="false" outlineLevel="0" collapsed="false">
      <c r="A95" s="3" t="s">
        <v>723</v>
      </c>
      <c r="B95" s="3" t="s">
        <v>724</v>
      </c>
      <c r="C95" s="3" t="s">
        <v>26</v>
      </c>
      <c r="D95" s="3" t="s">
        <v>27</v>
      </c>
      <c r="E95" s="3" t="s">
        <v>374</v>
      </c>
      <c r="F95" s="3" t="s">
        <v>725</v>
      </c>
      <c r="G95" s="4" t="s">
        <v>384</v>
      </c>
      <c r="H95" s="3" t="s">
        <v>31</v>
      </c>
      <c r="I95" s="3" t="s">
        <v>163</v>
      </c>
      <c r="J95" s="3" t="s">
        <v>33</v>
      </c>
      <c r="K95" s="3" t="s">
        <v>726</v>
      </c>
      <c r="L95" s="3" t="s">
        <v>727</v>
      </c>
      <c r="M95" s="3"/>
      <c r="N95" s="3" t="s">
        <v>36</v>
      </c>
      <c r="O95" s="3" t="s">
        <v>94</v>
      </c>
      <c r="P95" s="3" t="s">
        <v>728</v>
      </c>
      <c r="Q95" s="3" t="s">
        <v>39</v>
      </c>
      <c r="R95" s="3" t="s">
        <v>40</v>
      </c>
      <c r="S95" s="3" t="s">
        <v>191</v>
      </c>
      <c r="T95" s="3"/>
      <c r="U95" s="3" t="n">
        <v>45138</v>
      </c>
      <c r="V95" s="3"/>
      <c r="W95" s="3" t="s">
        <v>42</v>
      </c>
      <c r="X95" s="3" t="s">
        <v>43</v>
      </c>
    </row>
    <row r="96" customFormat="false" ht="57.45" hidden="false" customHeight="false" outlineLevel="0" collapsed="false">
      <c r="A96" s="3" t="s">
        <v>729</v>
      </c>
      <c r="B96" s="3" t="s">
        <v>730</v>
      </c>
      <c r="C96" s="3" t="s">
        <v>26</v>
      </c>
      <c r="D96" s="3" t="s">
        <v>27</v>
      </c>
      <c r="E96" s="3" t="s">
        <v>374</v>
      </c>
      <c r="F96" s="3" t="s">
        <v>731</v>
      </c>
      <c r="G96" s="4" t="s">
        <v>411</v>
      </c>
      <c r="H96" s="3" t="s">
        <v>31</v>
      </c>
      <c r="I96" s="3" t="s">
        <v>127</v>
      </c>
      <c r="J96" s="3" t="s">
        <v>33</v>
      </c>
      <c r="K96" s="3" t="s">
        <v>732</v>
      </c>
      <c r="L96" s="3" t="s">
        <v>733</v>
      </c>
      <c r="M96" s="3" t="n">
        <v>365</v>
      </c>
      <c r="N96" s="3" t="s">
        <v>103</v>
      </c>
      <c r="O96" s="3" t="s">
        <v>94</v>
      </c>
      <c r="P96" s="3" t="s">
        <v>734</v>
      </c>
      <c r="Q96" s="3" t="s">
        <v>39</v>
      </c>
      <c r="R96" s="3" t="s">
        <v>735</v>
      </c>
      <c r="S96" s="3"/>
      <c r="T96" s="3"/>
      <c r="U96" s="3" t="n">
        <v>45138</v>
      </c>
      <c r="V96" s="3"/>
      <c r="W96" s="3" t="s">
        <v>42</v>
      </c>
      <c r="X96" s="3" t="s">
        <v>43</v>
      </c>
    </row>
    <row r="97" customFormat="false" ht="57.45" hidden="false" customHeight="false" outlineLevel="0" collapsed="false">
      <c r="A97" s="3" t="s">
        <v>736</v>
      </c>
      <c r="B97" s="3" t="s">
        <v>737</v>
      </c>
      <c r="C97" s="3" t="s">
        <v>26</v>
      </c>
      <c r="D97" s="3" t="s">
        <v>27</v>
      </c>
      <c r="E97" s="3" t="s">
        <v>374</v>
      </c>
      <c r="F97" s="3" t="s">
        <v>738</v>
      </c>
      <c r="G97" s="4" t="s">
        <v>419</v>
      </c>
      <c r="H97" s="3" t="s">
        <v>31</v>
      </c>
      <c r="I97" s="3" t="s">
        <v>127</v>
      </c>
      <c r="J97" s="3" t="s">
        <v>33</v>
      </c>
      <c r="K97" s="3" t="s">
        <v>739</v>
      </c>
      <c r="L97" s="3" t="s">
        <v>740</v>
      </c>
      <c r="M97" s="3"/>
      <c r="N97" s="3" t="s">
        <v>36</v>
      </c>
      <c r="O97" s="3" t="s">
        <v>120</v>
      </c>
      <c r="P97" s="3" t="s">
        <v>741</v>
      </c>
      <c r="Q97" s="3" t="s">
        <v>39</v>
      </c>
      <c r="R97" s="3" t="s">
        <v>40</v>
      </c>
      <c r="S97" s="3" t="s">
        <v>330</v>
      </c>
      <c r="T97" s="3"/>
      <c r="U97" s="3" t="n">
        <v>45138</v>
      </c>
      <c r="V97" s="3"/>
      <c r="W97" s="3" t="s">
        <v>42</v>
      </c>
      <c r="X97" s="3" t="s">
        <v>43</v>
      </c>
    </row>
    <row r="98" customFormat="false" ht="57.45" hidden="false" customHeight="false" outlineLevel="0" collapsed="false">
      <c r="A98" s="3" t="s">
        <v>742</v>
      </c>
      <c r="B98" s="3" t="s">
        <v>743</v>
      </c>
      <c r="C98" s="3" t="s">
        <v>26</v>
      </c>
      <c r="D98" s="3" t="s">
        <v>27</v>
      </c>
      <c r="E98" s="3" t="s">
        <v>28</v>
      </c>
      <c r="F98" s="3" t="s">
        <v>744</v>
      </c>
      <c r="G98" s="4" t="s">
        <v>745</v>
      </c>
      <c r="H98" s="3" t="s">
        <v>31</v>
      </c>
      <c r="I98" s="3" t="s">
        <v>32</v>
      </c>
      <c r="J98" s="3" t="s">
        <v>33</v>
      </c>
      <c r="K98" s="3" t="s">
        <v>746</v>
      </c>
      <c r="L98" s="3" t="s">
        <v>747</v>
      </c>
      <c r="M98" s="3"/>
      <c r="N98" s="3" t="s">
        <v>36</v>
      </c>
      <c r="O98" s="3" t="s">
        <v>56</v>
      </c>
      <c r="P98" s="3" t="s">
        <v>748</v>
      </c>
      <c r="Q98" s="3" t="s">
        <v>39</v>
      </c>
      <c r="R98" s="3" t="s">
        <v>40</v>
      </c>
      <c r="S98" s="3"/>
      <c r="T98" s="3"/>
      <c r="U98" s="3" t="n">
        <v>40848</v>
      </c>
      <c r="V98" s="3"/>
      <c r="W98" s="3" t="s">
        <v>42</v>
      </c>
      <c r="X98" s="3" t="s">
        <v>43</v>
      </c>
    </row>
    <row r="99" customFormat="false" ht="57.45" hidden="false" customHeight="false" outlineLevel="0" collapsed="false">
      <c r="A99" s="3" t="s">
        <v>749</v>
      </c>
      <c r="B99" s="3" t="s">
        <v>750</v>
      </c>
      <c r="C99" s="3" t="s">
        <v>26</v>
      </c>
      <c r="D99" s="3" t="s">
        <v>27</v>
      </c>
      <c r="E99" s="3" t="s">
        <v>124</v>
      </c>
      <c r="F99" s="3" t="s">
        <v>751</v>
      </c>
      <c r="G99" s="4" t="s">
        <v>752</v>
      </c>
      <c r="H99" s="3" t="s">
        <v>31</v>
      </c>
      <c r="I99" s="3" t="s">
        <v>127</v>
      </c>
      <c r="J99" s="3" t="s">
        <v>128</v>
      </c>
      <c r="K99" s="3" t="s">
        <v>753</v>
      </c>
      <c r="L99" s="3" t="s">
        <v>754</v>
      </c>
      <c r="M99" s="3" t="n">
        <v>30</v>
      </c>
      <c r="N99" s="3" t="s">
        <v>103</v>
      </c>
      <c r="O99" s="3" t="s">
        <v>269</v>
      </c>
      <c r="P99" s="3" t="s">
        <v>755</v>
      </c>
      <c r="Q99" s="3" t="s">
        <v>39</v>
      </c>
      <c r="R99" s="3" t="s">
        <v>40</v>
      </c>
      <c r="S99" s="3"/>
      <c r="T99" s="3"/>
      <c r="U99" s="3" t="n">
        <v>41730</v>
      </c>
      <c r="V99" s="3"/>
      <c r="W99" s="3" t="s">
        <v>42</v>
      </c>
      <c r="X99" s="3" t="s">
        <v>43</v>
      </c>
    </row>
    <row r="100" customFormat="false" ht="46.25" hidden="false" customHeight="false" outlineLevel="0" collapsed="false">
      <c r="A100" s="3" t="s">
        <v>756</v>
      </c>
      <c r="B100" s="3" t="s">
        <v>757</v>
      </c>
      <c r="C100" s="3" t="s">
        <v>26</v>
      </c>
      <c r="D100" s="3" t="s">
        <v>27</v>
      </c>
      <c r="E100" s="3" t="s">
        <v>124</v>
      </c>
      <c r="F100" s="3" t="s">
        <v>758</v>
      </c>
      <c r="G100" s="4" t="s">
        <v>239</v>
      </c>
      <c r="H100" s="3" t="s">
        <v>31</v>
      </c>
      <c r="I100" s="3" t="s">
        <v>127</v>
      </c>
      <c r="J100" s="3" t="s">
        <v>128</v>
      </c>
      <c r="K100" s="3" t="s">
        <v>759</v>
      </c>
      <c r="L100" s="3" t="s">
        <v>760</v>
      </c>
      <c r="M100" s="3"/>
      <c r="N100" s="3" t="s">
        <v>36</v>
      </c>
      <c r="O100" s="3" t="s">
        <v>56</v>
      </c>
      <c r="P100" s="3" t="s">
        <v>761</v>
      </c>
      <c r="Q100" s="3" t="s">
        <v>39</v>
      </c>
      <c r="R100" s="3" t="s">
        <v>40</v>
      </c>
      <c r="S100" s="3"/>
      <c r="T100" s="3"/>
      <c r="U100" s="3" t="n">
        <v>41730</v>
      </c>
      <c r="V100" s="3"/>
      <c r="W100" s="3" t="s">
        <v>42</v>
      </c>
      <c r="X100" s="3" t="s">
        <v>43</v>
      </c>
    </row>
    <row r="101" customFormat="false" ht="91" hidden="false" customHeight="false" outlineLevel="0" collapsed="false">
      <c r="A101" s="3" t="s">
        <v>762</v>
      </c>
      <c r="B101" s="3" t="s">
        <v>763</v>
      </c>
      <c r="C101" s="3" t="s">
        <v>26</v>
      </c>
      <c r="D101" s="3" t="s">
        <v>27</v>
      </c>
      <c r="E101" s="3" t="s">
        <v>253</v>
      </c>
      <c r="F101" s="3" t="s">
        <v>764</v>
      </c>
      <c r="G101" s="4" t="s">
        <v>765</v>
      </c>
      <c r="H101" s="3" t="s">
        <v>31</v>
      </c>
      <c r="I101" s="3" t="s">
        <v>265</v>
      </c>
      <c r="J101" s="3" t="s">
        <v>128</v>
      </c>
      <c r="K101" s="3" t="s">
        <v>766</v>
      </c>
      <c r="L101" s="3" t="s">
        <v>767</v>
      </c>
      <c r="M101" s="3" t="n">
        <v>365</v>
      </c>
      <c r="N101" s="3" t="s">
        <v>103</v>
      </c>
      <c r="O101" s="3" t="s">
        <v>120</v>
      </c>
      <c r="P101" s="3" t="s">
        <v>768</v>
      </c>
      <c r="Q101" s="3" t="s">
        <v>39</v>
      </c>
      <c r="R101" s="3" t="s">
        <v>769</v>
      </c>
      <c r="S101" s="3"/>
      <c r="T101" s="3"/>
      <c r="U101" s="3" t="n">
        <v>39722</v>
      </c>
      <c r="V101" s="3"/>
      <c r="W101" s="3" t="s">
        <v>42</v>
      </c>
      <c r="X101" s="3" t="s">
        <v>43</v>
      </c>
    </row>
    <row r="102" customFormat="false" ht="68.65" hidden="false" customHeight="false" outlineLevel="0" collapsed="false">
      <c r="A102" s="3" t="s">
        <v>770</v>
      </c>
      <c r="B102" s="3" t="s">
        <v>771</v>
      </c>
      <c r="C102" s="3" t="s">
        <v>26</v>
      </c>
      <c r="D102" s="3" t="s">
        <v>27</v>
      </c>
      <c r="E102" s="3" t="s">
        <v>253</v>
      </c>
      <c r="F102" s="3" t="s">
        <v>772</v>
      </c>
      <c r="G102" s="4" t="s">
        <v>773</v>
      </c>
      <c r="H102" s="3" t="s">
        <v>31</v>
      </c>
      <c r="I102" s="3" t="s">
        <v>265</v>
      </c>
      <c r="J102" s="3" t="s">
        <v>128</v>
      </c>
      <c r="K102" s="3" t="s">
        <v>774</v>
      </c>
      <c r="L102" s="3" t="s">
        <v>775</v>
      </c>
      <c r="M102" s="3"/>
      <c r="N102" s="3" t="s">
        <v>36</v>
      </c>
      <c r="O102" s="3" t="s">
        <v>56</v>
      </c>
      <c r="P102" s="3" t="s">
        <v>776</v>
      </c>
      <c r="Q102" s="3" t="s">
        <v>50</v>
      </c>
      <c r="R102" s="3" t="s">
        <v>40</v>
      </c>
      <c r="S102" s="3" t="s">
        <v>535</v>
      </c>
      <c r="T102" s="3"/>
      <c r="U102" s="3" t="n">
        <v>38503</v>
      </c>
      <c r="V102" s="3"/>
      <c r="W102" s="3" t="s">
        <v>42</v>
      </c>
      <c r="X102" s="3" t="s">
        <v>43</v>
      </c>
    </row>
    <row r="103" customFormat="false" ht="57.45" hidden="false" customHeight="false" outlineLevel="0" collapsed="false">
      <c r="A103" s="3" t="s">
        <v>777</v>
      </c>
      <c r="B103" s="3" t="s">
        <v>778</v>
      </c>
      <c r="C103" s="3" t="s">
        <v>26</v>
      </c>
      <c r="D103" s="3" t="s">
        <v>27</v>
      </c>
      <c r="E103" s="3" t="s">
        <v>28</v>
      </c>
      <c r="F103" s="3" t="s">
        <v>779</v>
      </c>
      <c r="G103" s="4" t="s">
        <v>30</v>
      </c>
      <c r="H103" s="3" t="s">
        <v>31</v>
      </c>
      <c r="I103" s="3" t="s">
        <v>32</v>
      </c>
      <c r="J103" s="3" t="s">
        <v>33</v>
      </c>
      <c r="K103" s="3" t="s">
        <v>780</v>
      </c>
      <c r="L103" s="3" t="s">
        <v>781</v>
      </c>
      <c r="M103" s="3" t="n">
        <v>5</v>
      </c>
      <c r="N103" s="3" t="s">
        <v>71</v>
      </c>
      <c r="O103" s="3" t="s">
        <v>37</v>
      </c>
      <c r="P103" s="3" t="s">
        <v>782</v>
      </c>
      <c r="Q103" s="3" t="s">
        <v>39</v>
      </c>
      <c r="R103" s="3" t="s">
        <v>783</v>
      </c>
      <c r="S103" s="3"/>
      <c r="T103" s="3"/>
      <c r="U103" s="3" t="n">
        <v>40848</v>
      </c>
      <c r="V103" s="3"/>
      <c r="W103" s="3" t="s">
        <v>42</v>
      </c>
      <c r="X103" s="3" t="s">
        <v>43</v>
      </c>
    </row>
    <row r="104" customFormat="false" ht="68.65" hidden="false" customHeight="false" outlineLevel="0" collapsed="false">
      <c r="A104" s="3" t="s">
        <v>784</v>
      </c>
      <c r="B104" s="3" t="s">
        <v>785</v>
      </c>
      <c r="C104" s="3" t="s">
        <v>26</v>
      </c>
      <c r="D104" s="3" t="s">
        <v>27</v>
      </c>
      <c r="E104" s="3" t="s">
        <v>28</v>
      </c>
      <c r="F104" s="3" t="s">
        <v>786</v>
      </c>
      <c r="G104" s="4" t="s">
        <v>787</v>
      </c>
      <c r="H104" s="3" t="s">
        <v>31</v>
      </c>
      <c r="I104" s="3" t="s">
        <v>32</v>
      </c>
      <c r="J104" s="3" t="s">
        <v>33</v>
      </c>
      <c r="K104" s="3" t="s">
        <v>788</v>
      </c>
      <c r="L104" s="3" t="s">
        <v>789</v>
      </c>
      <c r="M104" s="3" t="n">
        <v>5</v>
      </c>
      <c r="N104" s="3" t="s">
        <v>71</v>
      </c>
      <c r="O104" s="3" t="s">
        <v>37</v>
      </c>
      <c r="P104" s="3" t="s">
        <v>790</v>
      </c>
      <c r="Q104" s="3" t="s">
        <v>39</v>
      </c>
      <c r="R104" s="3" t="s">
        <v>40</v>
      </c>
      <c r="S104" s="3"/>
      <c r="T104" s="3"/>
      <c r="U104" s="3" t="n">
        <v>40848</v>
      </c>
      <c r="V104" s="3"/>
      <c r="W104" s="3" t="s">
        <v>42</v>
      </c>
      <c r="X104" s="3" t="s">
        <v>43</v>
      </c>
    </row>
    <row r="105" customFormat="false" ht="57.45" hidden="false" customHeight="false" outlineLevel="0" collapsed="false">
      <c r="A105" s="3" t="s">
        <v>791</v>
      </c>
      <c r="B105" s="3" t="s">
        <v>792</v>
      </c>
      <c r="C105" s="3" t="s">
        <v>26</v>
      </c>
      <c r="D105" s="3" t="s">
        <v>27</v>
      </c>
      <c r="E105" s="3" t="s">
        <v>124</v>
      </c>
      <c r="F105" s="3" t="s">
        <v>793</v>
      </c>
      <c r="G105" s="4" t="s">
        <v>794</v>
      </c>
      <c r="H105" s="3" t="s">
        <v>31</v>
      </c>
      <c r="I105" s="3" t="s">
        <v>127</v>
      </c>
      <c r="J105" s="3" t="s">
        <v>128</v>
      </c>
      <c r="K105" s="3" t="s">
        <v>795</v>
      </c>
      <c r="L105" s="3" t="s">
        <v>796</v>
      </c>
      <c r="M105" s="3"/>
      <c r="N105" s="3" t="s">
        <v>36</v>
      </c>
      <c r="O105" s="3" t="s">
        <v>94</v>
      </c>
      <c r="P105" s="3" t="s">
        <v>797</v>
      </c>
      <c r="Q105" s="3" t="s">
        <v>39</v>
      </c>
      <c r="R105" s="3" t="s">
        <v>40</v>
      </c>
      <c r="S105" s="3"/>
      <c r="T105" s="3"/>
      <c r="U105" s="3" t="n">
        <v>41730</v>
      </c>
      <c r="V105" s="3"/>
      <c r="W105" s="3" t="s">
        <v>42</v>
      </c>
      <c r="X105" s="3" t="s">
        <v>43</v>
      </c>
    </row>
    <row r="106" customFormat="false" ht="57.45" hidden="false" customHeight="false" outlineLevel="0" collapsed="false">
      <c r="A106" s="3" t="s">
        <v>798</v>
      </c>
      <c r="B106" s="3" t="s">
        <v>799</v>
      </c>
      <c r="C106" s="3" t="s">
        <v>26</v>
      </c>
      <c r="D106" s="3" t="s">
        <v>27</v>
      </c>
      <c r="E106" s="3" t="s">
        <v>124</v>
      </c>
      <c r="F106" s="3" t="s">
        <v>800</v>
      </c>
      <c r="G106" s="4" t="s">
        <v>628</v>
      </c>
      <c r="H106" s="3" t="s">
        <v>31</v>
      </c>
      <c r="I106" s="3" t="s">
        <v>127</v>
      </c>
      <c r="J106" s="3" t="s">
        <v>128</v>
      </c>
      <c r="K106" s="3" t="s">
        <v>801</v>
      </c>
      <c r="L106" s="3" t="s">
        <v>802</v>
      </c>
      <c r="M106" s="3"/>
      <c r="N106" s="3" t="s">
        <v>36</v>
      </c>
      <c r="O106" s="3" t="s">
        <v>120</v>
      </c>
      <c r="P106" s="3" t="s">
        <v>803</v>
      </c>
      <c r="Q106" s="3" t="s">
        <v>39</v>
      </c>
      <c r="R106" s="3" t="s">
        <v>40</v>
      </c>
      <c r="S106" s="3"/>
      <c r="T106" s="3"/>
      <c r="U106" s="3" t="n">
        <v>41730</v>
      </c>
      <c r="V106" s="3"/>
      <c r="W106" s="3" t="s">
        <v>42</v>
      </c>
      <c r="X106" s="3" t="s">
        <v>43</v>
      </c>
    </row>
    <row r="107" customFormat="false" ht="57.45" hidden="false" customHeight="false" outlineLevel="0" collapsed="false">
      <c r="A107" s="3" t="s">
        <v>804</v>
      </c>
      <c r="B107" s="3" t="s">
        <v>805</v>
      </c>
      <c r="C107" s="3" t="s">
        <v>26</v>
      </c>
      <c r="D107" s="3" t="s">
        <v>27</v>
      </c>
      <c r="E107" s="3" t="s">
        <v>124</v>
      </c>
      <c r="F107" s="3" t="s">
        <v>806</v>
      </c>
      <c r="G107" s="4" t="s">
        <v>807</v>
      </c>
      <c r="H107" s="3" t="s">
        <v>31</v>
      </c>
      <c r="I107" s="3" t="s">
        <v>143</v>
      </c>
      <c r="J107" s="3" t="s">
        <v>128</v>
      </c>
      <c r="K107" s="3" t="s">
        <v>808</v>
      </c>
      <c r="L107" s="3" t="s">
        <v>809</v>
      </c>
      <c r="M107" s="3"/>
      <c r="N107" s="3" t="s">
        <v>36</v>
      </c>
      <c r="O107" s="3" t="s">
        <v>120</v>
      </c>
      <c r="P107" s="3" t="s">
        <v>810</v>
      </c>
      <c r="Q107" s="3" t="s">
        <v>39</v>
      </c>
      <c r="R107" s="3" t="s">
        <v>811</v>
      </c>
      <c r="S107" s="3"/>
      <c r="T107" s="3"/>
      <c r="U107" s="3" t="n">
        <v>41730</v>
      </c>
      <c r="V107" s="3"/>
      <c r="W107" s="3" t="s">
        <v>42</v>
      </c>
      <c r="X107" s="3" t="s">
        <v>43</v>
      </c>
    </row>
    <row r="108" customFormat="false" ht="57.45" hidden="false" customHeight="false" outlineLevel="0" collapsed="false">
      <c r="A108" s="3" t="s">
        <v>812</v>
      </c>
      <c r="B108" s="3" t="s">
        <v>813</v>
      </c>
      <c r="C108" s="3" t="s">
        <v>26</v>
      </c>
      <c r="D108" s="3" t="s">
        <v>27</v>
      </c>
      <c r="E108" s="3" t="s">
        <v>124</v>
      </c>
      <c r="F108" s="3" t="s">
        <v>814</v>
      </c>
      <c r="G108" s="4" t="s">
        <v>126</v>
      </c>
      <c r="H108" s="3" t="s">
        <v>31</v>
      </c>
      <c r="I108" s="3" t="s">
        <v>127</v>
      </c>
      <c r="J108" s="3" t="s">
        <v>128</v>
      </c>
      <c r="K108" s="3" t="s">
        <v>702</v>
      </c>
      <c r="L108" s="3" t="s">
        <v>815</v>
      </c>
      <c r="M108" s="3"/>
      <c r="N108" s="3" t="s">
        <v>36</v>
      </c>
      <c r="O108" s="3" t="s">
        <v>56</v>
      </c>
      <c r="P108" s="3" t="s">
        <v>816</v>
      </c>
      <c r="Q108" s="3" t="s">
        <v>39</v>
      </c>
      <c r="R108" s="3" t="s">
        <v>40</v>
      </c>
      <c r="S108" s="3" t="s">
        <v>122</v>
      </c>
      <c r="T108" s="3"/>
      <c r="U108" s="3" t="n">
        <v>43405</v>
      </c>
      <c r="V108" s="3"/>
      <c r="W108" s="3" t="s">
        <v>42</v>
      </c>
      <c r="X108" s="3" t="s">
        <v>43</v>
      </c>
    </row>
    <row r="109" customFormat="false" ht="57.45" hidden="false" customHeight="false" outlineLevel="0" collapsed="false">
      <c r="A109" s="3" t="s">
        <v>817</v>
      </c>
      <c r="B109" s="3" t="s">
        <v>818</v>
      </c>
      <c r="C109" s="3" t="s">
        <v>26</v>
      </c>
      <c r="D109" s="3" t="s">
        <v>27</v>
      </c>
      <c r="E109" s="3" t="s">
        <v>124</v>
      </c>
      <c r="F109" s="3" t="s">
        <v>819</v>
      </c>
      <c r="G109" s="4" t="s">
        <v>820</v>
      </c>
      <c r="H109" s="3" t="s">
        <v>31</v>
      </c>
      <c r="I109" s="3" t="s">
        <v>143</v>
      </c>
      <c r="J109" s="3" t="s">
        <v>128</v>
      </c>
      <c r="K109" s="3" t="s">
        <v>821</v>
      </c>
      <c r="L109" s="3" t="s">
        <v>822</v>
      </c>
      <c r="M109" s="3" t="n">
        <v>12</v>
      </c>
      <c r="N109" s="3" t="s">
        <v>71</v>
      </c>
      <c r="O109" s="3" t="s">
        <v>269</v>
      </c>
      <c r="P109" s="3" t="s">
        <v>823</v>
      </c>
      <c r="Q109" s="3" t="s">
        <v>39</v>
      </c>
      <c r="R109" s="3" t="s">
        <v>824</v>
      </c>
      <c r="S109" s="3" t="s">
        <v>261</v>
      </c>
      <c r="T109" s="3"/>
      <c r="U109" s="3" t="n">
        <v>41730</v>
      </c>
      <c r="V109" s="3"/>
      <c r="W109" s="3" t="s">
        <v>42</v>
      </c>
      <c r="X109" s="3" t="s">
        <v>43</v>
      </c>
    </row>
    <row r="110" customFormat="false" ht="57.45" hidden="false" customHeight="false" outlineLevel="0" collapsed="false">
      <c r="A110" s="3" t="s">
        <v>825</v>
      </c>
      <c r="B110" s="3" t="s">
        <v>826</v>
      </c>
      <c r="C110" s="3" t="s">
        <v>26</v>
      </c>
      <c r="D110" s="3" t="s">
        <v>27</v>
      </c>
      <c r="E110" s="3" t="s">
        <v>124</v>
      </c>
      <c r="F110" s="3" t="s">
        <v>827</v>
      </c>
      <c r="G110" s="4" t="s">
        <v>828</v>
      </c>
      <c r="H110" s="3" t="s">
        <v>31</v>
      </c>
      <c r="I110" s="3" t="s">
        <v>143</v>
      </c>
      <c r="J110" s="3" t="s">
        <v>128</v>
      </c>
      <c r="K110" s="3" t="s">
        <v>829</v>
      </c>
      <c r="L110" s="3" t="s">
        <v>830</v>
      </c>
      <c r="M110" s="3" t="n">
        <v>7</v>
      </c>
      <c r="N110" s="3" t="s">
        <v>103</v>
      </c>
      <c r="O110" s="3" t="s">
        <v>120</v>
      </c>
      <c r="P110" s="3" t="s">
        <v>831</v>
      </c>
      <c r="Q110" s="3" t="s">
        <v>39</v>
      </c>
      <c r="R110" s="3" t="s">
        <v>832</v>
      </c>
      <c r="S110" s="3"/>
      <c r="T110" s="3"/>
      <c r="U110" s="3" t="n">
        <v>41730</v>
      </c>
      <c r="V110" s="3"/>
      <c r="W110" s="3" t="s">
        <v>42</v>
      </c>
      <c r="X110" s="3" t="s">
        <v>43</v>
      </c>
    </row>
    <row r="111" customFormat="false" ht="57.45" hidden="false" customHeight="false" outlineLevel="0" collapsed="false">
      <c r="A111" s="3" t="s">
        <v>833</v>
      </c>
      <c r="B111" s="3" t="s">
        <v>834</v>
      </c>
      <c r="C111" s="3" t="s">
        <v>26</v>
      </c>
      <c r="D111" s="3" t="s">
        <v>27</v>
      </c>
      <c r="E111" s="3" t="s">
        <v>124</v>
      </c>
      <c r="F111" s="3" t="s">
        <v>835</v>
      </c>
      <c r="G111" s="4" t="s">
        <v>162</v>
      </c>
      <c r="H111" s="3" t="s">
        <v>31</v>
      </c>
      <c r="I111" s="3" t="s">
        <v>163</v>
      </c>
      <c r="J111" s="3" t="s">
        <v>128</v>
      </c>
      <c r="K111" s="3" t="s">
        <v>836</v>
      </c>
      <c r="L111" s="3" t="s">
        <v>837</v>
      </c>
      <c r="M111" s="3"/>
      <c r="N111" s="3" t="s">
        <v>36</v>
      </c>
      <c r="O111" s="3" t="s">
        <v>56</v>
      </c>
      <c r="P111" s="3" t="s">
        <v>838</v>
      </c>
      <c r="Q111" s="3" t="s">
        <v>39</v>
      </c>
      <c r="R111" s="3" t="s">
        <v>40</v>
      </c>
      <c r="S111" s="3"/>
      <c r="T111" s="3"/>
      <c r="U111" s="3" t="n">
        <v>41730</v>
      </c>
      <c r="V111" s="3"/>
      <c r="W111" s="3" t="s">
        <v>42</v>
      </c>
      <c r="X111" s="3" t="s">
        <v>43</v>
      </c>
    </row>
    <row r="112" customFormat="false" ht="46.25" hidden="false" customHeight="false" outlineLevel="0" collapsed="false">
      <c r="A112" s="3" t="s">
        <v>839</v>
      </c>
      <c r="B112" s="3" t="s">
        <v>840</v>
      </c>
      <c r="C112" s="3" t="s">
        <v>26</v>
      </c>
      <c r="D112" s="3" t="s">
        <v>27</v>
      </c>
      <c r="E112" s="3" t="s">
        <v>124</v>
      </c>
      <c r="F112" s="3" t="s">
        <v>841</v>
      </c>
      <c r="G112" s="4" t="s">
        <v>202</v>
      </c>
      <c r="H112" s="3" t="s">
        <v>31</v>
      </c>
      <c r="I112" s="3" t="s">
        <v>127</v>
      </c>
      <c r="J112" s="3" t="s">
        <v>128</v>
      </c>
      <c r="K112" s="3" t="s">
        <v>842</v>
      </c>
      <c r="L112" s="3" t="s">
        <v>843</v>
      </c>
      <c r="M112" s="3"/>
      <c r="N112" s="3" t="s">
        <v>36</v>
      </c>
      <c r="O112" s="3" t="s">
        <v>94</v>
      </c>
      <c r="P112" s="3" t="s">
        <v>844</v>
      </c>
      <c r="Q112" s="3" t="s">
        <v>39</v>
      </c>
      <c r="R112" s="3" t="s">
        <v>40</v>
      </c>
      <c r="S112" s="3" t="s">
        <v>199</v>
      </c>
      <c r="T112" s="3"/>
      <c r="U112" s="3" t="n">
        <v>45600</v>
      </c>
      <c r="V112" s="3"/>
      <c r="W112" s="3" t="s">
        <v>42</v>
      </c>
      <c r="X112" s="3" t="s">
        <v>43</v>
      </c>
    </row>
    <row r="113" customFormat="false" ht="57.45" hidden="false" customHeight="false" outlineLevel="0" collapsed="false">
      <c r="A113" s="3" t="s">
        <v>845</v>
      </c>
      <c r="B113" s="3" t="s">
        <v>846</v>
      </c>
      <c r="C113" s="3" t="s">
        <v>26</v>
      </c>
      <c r="D113" s="3" t="s">
        <v>27</v>
      </c>
      <c r="E113" s="3" t="s">
        <v>124</v>
      </c>
      <c r="F113" s="3" t="s">
        <v>847</v>
      </c>
      <c r="G113" s="4" t="s">
        <v>848</v>
      </c>
      <c r="H113" s="3" t="s">
        <v>31</v>
      </c>
      <c r="I113" s="3" t="s">
        <v>127</v>
      </c>
      <c r="J113" s="3" t="s">
        <v>432</v>
      </c>
      <c r="K113" s="3" t="s">
        <v>849</v>
      </c>
      <c r="L113" s="3" t="s">
        <v>850</v>
      </c>
      <c r="M113" s="3"/>
      <c r="N113" s="3" t="s">
        <v>36</v>
      </c>
      <c r="O113" s="3" t="s">
        <v>56</v>
      </c>
      <c r="P113" s="3" t="s">
        <v>851</v>
      </c>
      <c r="Q113" s="3" t="s">
        <v>39</v>
      </c>
      <c r="R113" s="3" t="s">
        <v>40</v>
      </c>
      <c r="S113" s="3"/>
      <c r="T113" s="3"/>
      <c r="U113" s="3" t="n">
        <v>41730</v>
      </c>
      <c r="V113" s="3"/>
      <c r="W113" s="3" t="s">
        <v>42</v>
      </c>
      <c r="X113" s="3" t="s">
        <v>43</v>
      </c>
    </row>
    <row r="114" customFormat="false" ht="57.45" hidden="false" customHeight="false" outlineLevel="0" collapsed="false">
      <c r="A114" s="3" t="s">
        <v>852</v>
      </c>
      <c r="B114" s="3" t="s">
        <v>853</v>
      </c>
      <c r="C114" s="3" t="s">
        <v>26</v>
      </c>
      <c r="D114" s="3" t="s">
        <v>27</v>
      </c>
      <c r="E114" s="3" t="s">
        <v>124</v>
      </c>
      <c r="F114" s="3" t="s">
        <v>854</v>
      </c>
      <c r="G114" s="4" t="s">
        <v>855</v>
      </c>
      <c r="H114" s="3" t="s">
        <v>31</v>
      </c>
      <c r="I114" s="3" t="s">
        <v>127</v>
      </c>
      <c r="J114" s="3" t="s">
        <v>128</v>
      </c>
      <c r="K114" s="3" t="s">
        <v>856</v>
      </c>
      <c r="L114" s="3" t="s">
        <v>857</v>
      </c>
      <c r="M114" s="3"/>
      <c r="N114" s="3" t="s">
        <v>36</v>
      </c>
      <c r="O114" s="3" t="s">
        <v>120</v>
      </c>
      <c r="P114" s="3" t="s">
        <v>858</v>
      </c>
      <c r="Q114" s="3" t="s">
        <v>39</v>
      </c>
      <c r="R114" s="3" t="s">
        <v>40</v>
      </c>
      <c r="S114" s="3"/>
      <c r="T114" s="3"/>
      <c r="U114" s="3" t="n">
        <v>41730</v>
      </c>
      <c r="V114" s="3"/>
      <c r="W114" s="3" t="s">
        <v>42</v>
      </c>
      <c r="X114" s="3" t="s">
        <v>43</v>
      </c>
    </row>
    <row r="115" customFormat="false" ht="57.45" hidden="false" customHeight="false" outlineLevel="0" collapsed="false">
      <c r="A115" s="3" t="s">
        <v>859</v>
      </c>
      <c r="B115" s="3" t="s">
        <v>860</v>
      </c>
      <c r="C115" s="3" t="s">
        <v>26</v>
      </c>
      <c r="D115" s="3" t="s">
        <v>27</v>
      </c>
      <c r="E115" s="3" t="s">
        <v>253</v>
      </c>
      <c r="F115" s="3" t="s">
        <v>861</v>
      </c>
      <c r="G115" s="4" t="s">
        <v>862</v>
      </c>
      <c r="H115" s="3" t="s">
        <v>31</v>
      </c>
      <c r="I115" s="3" t="s">
        <v>143</v>
      </c>
      <c r="J115" s="3" t="s">
        <v>128</v>
      </c>
      <c r="K115" s="3" t="s">
        <v>863</v>
      </c>
      <c r="L115" s="3" t="s">
        <v>864</v>
      </c>
      <c r="M115" s="3"/>
      <c r="N115" s="3" t="s">
        <v>36</v>
      </c>
      <c r="O115" s="3" t="s">
        <v>56</v>
      </c>
      <c r="P115" s="3" t="s">
        <v>865</v>
      </c>
      <c r="Q115" s="3" t="s">
        <v>39</v>
      </c>
      <c r="R115" s="3" t="s">
        <v>866</v>
      </c>
      <c r="S115" s="3"/>
      <c r="T115" s="3"/>
      <c r="U115" s="3" t="n">
        <v>39722</v>
      </c>
      <c r="V115" s="3"/>
      <c r="W115" s="3" t="s">
        <v>42</v>
      </c>
      <c r="X115" s="3" t="s">
        <v>43</v>
      </c>
    </row>
    <row r="116" customFormat="false" ht="68.65" hidden="false" customHeight="false" outlineLevel="0" collapsed="false">
      <c r="A116" s="3" t="s">
        <v>867</v>
      </c>
      <c r="B116" s="3" t="s">
        <v>868</v>
      </c>
      <c r="C116" s="3" t="s">
        <v>26</v>
      </c>
      <c r="D116" s="3" t="s">
        <v>27</v>
      </c>
      <c r="E116" s="3" t="s">
        <v>253</v>
      </c>
      <c r="F116" s="3" t="s">
        <v>869</v>
      </c>
      <c r="G116" s="4" t="s">
        <v>276</v>
      </c>
      <c r="H116" s="3" t="s">
        <v>31</v>
      </c>
      <c r="I116" s="3" t="s">
        <v>163</v>
      </c>
      <c r="J116" s="3" t="s">
        <v>128</v>
      </c>
      <c r="K116" s="3" t="s">
        <v>870</v>
      </c>
      <c r="L116" s="3" t="s">
        <v>871</v>
      </c>
      <c r="M116" s="3"/>
      <c r="N116" s="3" t="s">
        <v>36</v>
      </c>
      <c r="O116" s="3" t="s">
        <v>94</v>
      </c>
      <c r="P116" s="3" t="s">
        <v>872</v>
      </c>
      <c r="Q116" s="3" t="s">
        <v>39</v>
      </c>
      <c r="R116" s="3" t="s">
        <v>873</v>
      </c>
      <c r="S116" s="3"/>
      <c r="T116" s="3"/>
      <c r="U116" s="3" t="n">
        <v>31187</v>
      </c>
      <c r="V116" s="3"/>
      <c r="W116" s="3" t="s">
        <v>42</v>
      </c>
      <c r="X116" s="3" t="s">
        <v>43</v>
      </c>
    </row>
    <row r="117" customFormat="false" ht="57.45" hidden="false" customHeight="false" outlineLevel="0" collapsed="false">
      <c r="A117" s="3" t="s">
        <v>874</v>
      </c>
      <c r="B117" s="3" t="s">
        <v>875</v>
      </c>
      <c r="C117" s="3" t="s">
        <v>26</v>
      </c>
      <c r="D117" s="3" t="s">
        <v>27</v>
      </c>
      <c r="E117" s="3" t="s">
        <v>28</v>
      </c>
      <c r="F117" s="3" t="s">
        <v>876</v>
      </c>
      <c r="G117" s="4" t="s">
        <v>30</v>
      </c>
      <c r="H117" s="3" t="s">
        <v>31</v>
      </c>
      <c r="I117" s="3" t="s">
        <v>32</v>
      </c>
      <c r="J117" s="3" t="s">
        <v>33</v>
      </c>
      <c r="K117" s="3" t="s">
        <v>877</v>
      </c>
      <c r="L117" s="3" t="s">
        <v>878</v>
      </c>
      <c r="M117" s="3"/>
      <c r="N117" s="3" t="s">
        <v>36</v>
      </c>
      <c r="O117" s="3" t="s">
        <v>269</v>
      </c>
      <c r="P117" s="3" t="s">
        <v>879</v>
      </c>
      <c r="Q117" s="3" t="s">
        <v>39</v>
      </c>
      <c r="R117" s="3" t="s">
        <v>40</v>
      </c>
      <c r="S117" s="3"/>
      <c r="T117" s="3"/>
      <c r="U117" s="3" t="n">
        <v>40848</v>
      </c>
      <c r="V117" s="3"/>
      <c r="W117" s="3" t="s">
        <v>42</v>
      </c>
      <c r="X117" s="3" t="s">
        <v>43</v>
      </c>
    </row>
    <row r="118" customFormat="false" ht="46.25" hidden="false" customHeight="false" outlineLevel="0" collapsed="false">
      <c r="A118" s="3" t="s">
        <v>880</v>
      </c>
      <c r="B118" s="3" t="s">
        <v>881</v>
      </c>
      <c r="C118" s="3" t="s">
        <v>26</v>
      </c>
      <c r="D118" s="3" t="s">
        <v>27</v>
      </c>
      <c r="E118" s="3" t="s">
        <v>28</v>
      </c>
      <c r="F118" s="3" t="s">
        <v>882</v>
      </c>
      <c r="G118" s="4" t="s">
        <v>30</v>
      </c>
      <c r="H118" s="3" t="s">
        <v>117</v>
      </c>
      <c r="I118" s="3" t="s">
        <v>32</v>
      </c>
      <c r="J118" s="3" t="s">
        <v>33</v>
      </c>
      <c r="K118" s="3" t="s">
        <v>883</v>
      </c>
      <c r="L118" s="3" t="s">
        <v>884</v>
      </c>
      <c r="M118" s="3"/>
      <c r="N118" s="3" t="s">
        <v>36</v>
      </c>
      <c r="O118" s="3" t="s">
        <v>37</v>
      </c>
      <c r="P118" s="3" t="s">
        <v>885</v>
      </c>
      <c r="Q118" s="3" t="s">
        <v>39</v>
      </c>
      <c r="R118" s="3" t="s">
        <v>40</v>
      </c>
      <c r="S118" s="3"/>
      <c r="T118" s="3"/>
      <c r="U118" s="3" t="n">
        <v>40848</v>
      </c>
      <c r="V118" s="3"/>
      <c r="W118" s="3" t="s">
        <v>42</v>
      </c>
      <c r="X118" s="3" t="s">
        <v>43</v>
      </c>
    </row>
    <row r="119" customFormat="false" ht="57.45" hidden="false" customHeight="false" outlineLevel="0" collapsed="false">
      <c r="A119" s="3" t="s">
        <v>886</v>
      </c>
      <c r="B119" s="3" t="s">
        <v>887</v>
      </c>
      <c r="C119" s="3" t="s">
        <v>26</v>
      </c>
      <c r="D119" s="3" t="s">
        <v>27</v>
      </c>
      <c r="E119" s="3" t="s">
        <v>374</v>
      </c>
      <c r="F119" s="3" t="s">
        <v>438</v>
      </c>
      <c r="G119" s="4" t="s">
        <v>439</v>
      </c>
      <c r="H119" s="3" t="s">
        <v>31</v>
      </c>
      <c r="I119" s="3" t="s">
        <v>32</v>
      </c>
      <c r="J119" s="3" t="s">
        <v>33</v>
      </c>
      <c r="K119" s="3" t="s">
        <v>888</v>
      </c>
      <c r="L119" s="3" t="s">
        <v>889</v>
      </c>
      <c r="M119" s="3" t="n">
        <v>365</v>
      </c>
      <c r="N119" s="3" t="s">
        <v>103</v>
      </c>
      <c r="O119" s="3" t="s">
        <v>94</v>
      </c>
      <c r="P119" s="3" t="s">
        <v>890</v>
      </c>
      <c r="Q119" s="3" t="s">
        <v>39</v>
      </c>
      <c r="R119" s="3" t="s">
        <v>891</v>
      </c>
      <c r="S119" s="3"/>
      <c r="T119" s="3"/>
      <c r="U119" s="3" t="n">
        <v>45138</v>
      </c>
      <c r="V119" s="3"/>
      <c r="W119" s="3" t="s">
        <v>42</v>
      </c>
      <c r="X119" s="3" t="s">
        <v>43</v>
      </c>
    </row>
    <row r="120" customFormat="false" ht="57.45" hidden="false" customHeight="false" outlineLevel="0" collapsed="false">
      <c r="A120" s="3" t="s">
        <v>892</v>
      </c>
      <c r="B120" s="3" t="s">
        <v>893</v>
      </c>
      <c r="C120" s="3" t="s">
        <v>26</v>
      </c>
      <c r="D120" s="3" t="s">
        <v>27</v>
      </c>
      <c r="E120" s="3" t="s">
        <v>374</v>
      </c>
      <c r="F120" s="3" t="s">
        <v>894</v>
      </c>
      <c r="G120" s="4" t="s">
        <v>411</v>
      </c>
      <c r="H120" s="3" t="s">
        <v>31</v>
      </c>
      <c r="I120" s="3" t="s">
        <v>127</v>
      </c>
      <c r="J120" s="3" t="s">
        <v>33</v>
      </c>
      <c r="K120" s="3" t="s">
        <v>895</v>
      </c>
      <c r="L120" s="3" t="s">
        <v>896</v>
      </c>
      <c r="M120" s="3"/>
      <c r="N120" s="3" t="s">
        <v>36</v>
      </c>
      <c r="O120" s="3" t="s">
        <v>56</v>
      </c>
      <c r="P120" s="3" t="s">
        <v>897</v>
      </c>
      <c r="Q120" s="3" t="s">
        <v>39</v>
      </c>
      <c r="R120" s="3" t="s">
        <v>40</v>
      </c>
      <c r="S120" s="3" t="s">
        <v>170</v>
      </c>
      <c r="T120" s="3"/>
      <c r="U120" s="3" t="n">
        <v>45138</v>
      </c>
      <c r="V120" s="3"/>
      <c r="W120" s="3" t="s">
        <v>42</v>
      </c>
      <c r="X120" s="3" t="s">
        <v>43</v>
      </c>
    </row>
    <row r="121" customFormat="false" ht="46.25" hidden="false" customHeight="false" outlineLevel="0" collapsed="false">
      <c r="A121" s="3" t="s">
        <v>898</v>
      </c>
      <c r="B121" s="3" t="s">
        <v>899</v>
      </c>
      <c r="C121" s="3" t="s">
        <v>26</v>
      </c>
      <c r="D121" s="3" t="s">
        <v>27</v>
      </c>
      <c r="E121" s="3" t="s">
        <v>374</v>
      </c>
      <c r="F121" s="3" t="s">
        <v>900</v>
      </c>
      <c r="G121" s="4" t="s">
        <v>384</v>
      </c>
      <c r="H121" s="3" t="s">
        <v>31</v>
      </c>
      <c r="I121" s="3" t="s">
        <v>143</v>
      </c>
      <c r="J121" s="3" t="s">
        <v>432</v>
      </c>
      <c r="K121" s="3" t="s">
        <v>901</v>
      </c>
      <c r="L121" s="3" t="s">
        <v>902</v>
      </c>
      <c r="M121" s="3"/>
      <c r="N121" s="3" t="s">
        <v>36</v>
      </c>
      <c r="O121" s="3" t="s">
        <v>56</v>
      </c>
      <c r="P121" s="3" t="s">
        <v>903</v>
      </c>
      <c r="Q121" s="3" t="s">
        <v>39</v>
      </c>
      <c r="R121" s="3" t="s">
        <v>40</v>
      </c>
      <c r="S121" s="3" t="s">
        <v>654</v>
      </c>
      <c r="T121" s="3"/>
      <c r="U121" s="3" t="n">
        <v>45138</v>
      </c>
      <c r="V121" s="3"/>
      <c r="W121" s="3" t="s">
        <v>42</v>
      </c>
      <c r="X121" s="3" t="s">
        <v>43</v>
      </c>
    </row>
    <row r="122" customFormat="false" ht="79.85" hidden="false" customHeight="false" outlineLevel="0" collapsed="false">
      <c r="A122" s="3" t="s">
        <v>904</v>
      </c>
      <c r="B122" s="3" t="s">
        <v>905</v>
      </c>
      <c r="C122" s="3" t="s">
        <v>26</v>
      </c>
      <c r="D122" s="3" t="s">
        <v>27</v>
      </c>
      <c r="E122" s="3" t="s">
        <v>124</v>
      </c>
      <c r="F122" s="3" t="s">
        <v>906</v>
      </c>
      <c r="G122" s="4" t="s">
        <v>461</v>
      </c>
      <c r="H122" s="3" t="s">
        <v>31</v>
      </c>
      <c r="I122" s="3" t="s">
        <v>143</v>
      </c>
      <c r="J122" s="3" t="s">
        <v>128</v>
      </c>
      <c r="K122" s="3" t="s">
        <v>907</v>
      </c>
      <c r="L122" s="3" t="s">
        <v>908</v>
      </c>
      <c r="M122" s="3"/>
      <c r="N122" s="3" t="s">
        <v>36</v>
      </c>
      <c r="O122" s="3" t="s">
        <v>56</v>
      </c>
      <c r="P122" s="3" t="s">
        <v>909</v>
      </c>
      <c r="Q122" s="3" t="s">
        <v>39</v>
      </c>
      <c r="R122" s="3" t="s">
        <v>910</v>
      </c>
      <c r="S122" s="3" t="s">
        <v>458</v>
      </c>
      <c r="T122" s="3"/>
      <c r="U122" s="3" t="n">
        <v>40575</v>
      </c>
      <c r="V122" s="3"/>
      <c r="W122" s="3" t="s">
        <v>42</v>
      </c>
      <c r="X122" s="3" t="s">
        <v>43</v>
      </c>
    </row>
    <row r="123" customFormat="false" ht="46.25" hidden="false" customHeight="false" outlineLevel="0" collapsed="false">
      <c r="A123" s="3" t="s">
        <v>911</v>
      </c>
      <c r="B123" s="3" t="s">
        <v>912</v>
      </c>
      <c r="C123" s="3" t="s">
        <v>26</v>
      </c>
      <c r="D123" s="3" t="s">
        <v>27</v>
      </c>
      <c r="E123" s="3" t="s">
        <v>124</v>
      </c>
      <c r="F123" s="3" t="s">
        <v>913</v>
      </c>
      <c r="G123" s="4" t="s">
        <v>914</v>
      </c>
      <c r="H123" s="3" t="s">
        <v>31</v>
      </c>
      <c r="I123" s="3" t="s">
        <v>127</v>
      </c>
      <c r="J123" s="3" t="s">
        <v>128</v>
      </c>
      <c r="K123" s="3" t="s">
        <v>915</v>
      </c>
      <c r="L123" s="3" t="s">
        <v>916</v>
      </c>
      <c r="M123" s="3"/>
      <c r="N123" s="3" t="s">
        <v>36</v>
      </c>
      <c r="O123" s="3" t="s">
        <v>56</v>
      </c>
      <c r="P123" s="3" t="s">
        <v>917</v>
      </c>
      <c r="Q123" s="3" t="s">
        <v>39</v>
      </c>
      <c r="R123" s="3" t="s">
        <v>40</v>
      </c>
      <c r="S123" s="3"/>
      <c r="T123" s="3"/>
      <c r="U123" s="3" t="n">
        <v>41730</v>
      </c>
      <c r="V123" s="3"/>
      <c r="W123" s="3" t="s">
        <v>42</v>
      </c>
      <c r="X123" s="3" t="s">
        <v>43</v>
      </c>
    </row>
    <row r="124" customFormat="false" ht="68.65" hidden="false" customHeight="false" outlineLevel="0" collapsed="false">
      <c r="A124" s="3" t="s">
        <v>918</v>
      </c>
      <c r="B124" s="3" t="s">
        <v>919</v>
      </c>
      <c r="C124" s="3" t="s">
        <v>26</v>
      </c>
      <c r="D124" s="3" t="s">
        <v>27</v>
      </c>
      <c r="E124" s="3" t="s">
        <v>124</v>
      </c>
      <c r="F124" s="3" t="s">
        <v>920</v>
      </c>
      <c r="G124" s="4" t="s">
        <v>921</v>
      </c>
      <c r="H124" s="3" t="s">
        <v>31</v>
      </c>
      <c r="I124" s="3" t="s">
        <v>127</v>
      </c>
      <c r="J124" s="3" t="s">
        <v>128</v>
      </c>
      <c r="K124" s="3" t="s">
        <v>922</v>
      </c>
      <c r="L124" s="3" t="s">
        <v>923</v>
      </c>
      <c r="M124" s="3"/>
      <c r="N124" s="3" t="s">
        <v>36</v>
      </c>
      <c r="O124" s="3" t="s">
        <v>56</v>
      </c>
      <c r="P124" s="3" t="s">
        <v>924</v>
      </c>
      <c r="Q124" s="3" t="s">
        <v>39</v>
      </c>
      <c r="R124" s="3" t="s">
        <v>925</v>
      </c>
      <c r="S124" s="3"/>
      <c r="T124" s="3"/>
      <c r="U124" s="3" t="n">
        <v>41730</v>
      </c>
      <c r="V124" s="3"/>
      <c r="W124" s="3" t="s">
        <v>42</v>
      </c>
      <c r="X124" s="3" t="s">
        <v>43</v>
      </c>
    </row>
    <row r="125" customFormat="false" ht="57.45" hidden="false" customHeight="false" outlineLevel="0" collapsed="false">
      <c r="A125" s="3" t="s">
        <v>926</v>
      </c>
      <c r="B125" s="3" t="s">
        <v>927</v>
      </c>
      <c r="C125" s="3" t="s">
        <v>26</v>
      </c>
      <c r="D125" s="3" t="s">
        <v>27</v>
      </c>
      <c r="E125" s="3" t="s">
        <v>124</v>
      </c>
      <c r="F125" s="3" t="s">
        <v>928</v>
      </c>
      <c r="G125" s="4" t="s">
        <v>929</v>
      </c>
      <c r="H125" s="3" t="s">
        <v>31</v>
      </c>
      <c r="I125" s="3" t="s">
        <v>127</v>
      </c>
      <c r="J125" s="3" t="s">
        <v>128</v>
      </c>
      <c r="K125" s="3" t="s">
        <v>930</v>
      </c>
      <c r="L125" s="3" t="s">
        <v>931</v>
      </c>
      <c r="M125" s="3"/>
      <c r="N125" s="3" t="s">
        <v>36</v>
      </c>
      <c r="O125" s="3" t="s">
        <v>94</v>
      </c>
      <c r="P125" s="3" t="s">
        <v>932</v>
      </c>
      <c r="Q125" s="3" t="s">
        <v>39</v>
      </c>
      <c r="R125" s="3" t="s">
        <v>40</v>
      </c>
      <c r="S125" s="3"/>
      <c r="T125" s="3"/>
      <c r="U125" s="3" t="n">
        <v>41730</v>
      </c>
      <c r="V125" s="3"/>
      <c r="W125" s="3" t="s">
        <v>42</v>
      </c>
      <c r="X125" s="3" t="s">
        <v>43</v>
      </c>
    </row>
    <row r="126" customFormat="false" ht="57.45" hidden="false" customHeight="false" outlineLevel="0" collapsed="false">
      <c r="A126" s="3" t="s">
        <v>933</v>
      </c>
      <c r="B126" s="3" t="s">
        <v>934</v>
      </c>
      <c r="C126" s="3" t="s">
        <v>26</v>
      </c>
      <c r="D126" s="3" t="s">
        <v>27</v>
      </c>
      <c r="E126" s="3" t="s">
        <v>253</v>
      </c>
      <c r="F126" s="3" t="s">
        <v>935</v>
      </c>
      <c r="G126" s="4" t="s">
        <v>936</v>
      </c>
      <c r="H126" s="3" t="s">
        <v>31</v>
      </c>
      <c r="I126" s="3" t="s">
        <v>143</v>
      </c>
      <c r="J126" s="3" t="s">
        <v>128</v>
      </c>
      <c r="K126" s="3" t="s">
        <v>643</v>
      </c>
      <c r="L126" s="3" t="s">
        <v>937</v>
      </c>
      <c r="M126" s="3"/>
      <c r="N126" s="3" t="s">
        <v>36</v>
      </c>
      <c r="O126" s="3" t="s">
        <v>56</v>
      </c>
      <c r="P126" s="3" t="s">
        <v>938</v>
      </c>
      <c r="Q126" s="3" t="s">
        <v>39</v>
      </c>
      <c r="R126" s="3" t="s">
        <v>40</v>
      </c>
      <c r="S126" s="3"/>
      <c r="T126" s="3"/>
      <c r="U126" s="3" t="n">
        <v>31187</v>
      </c>
      <c r="V126" s="3"/>
      <c r="W126" s="3" t="s">
        <v>42</v>
      </c>
      <c r="X126" s="3" t="s">
        <v>43</v>
      </c>
    </row>
    <row r="127" customFormat="false" ht="68.65" hidden="false" customHeight="false" outlineLevel="0" collapsed="false">
      <c r="A127" s="3" t="s">
        <v>939</v>
      </c>
      <c r="B127" s="3" t="s">
        <v>940</v>
      </c>
      <c r="C127" s="3" t="s">
        <v>26</v>
      </c>
      <c r="D127" s="3" t="s">
        <v>27</v>
      </c>
      <c r="E127" s="3" t="s">
        <v>253</v>
      </c>
      <c r="F127" s="3" t="s">
        <v>941</v>
      </c>
      <c r="G127" s="4" t="s">
        <v>942</v>
      </c>
      <c r="H127" s="3" t="s">
        <v>31</v>
      </c>
      <c r="I127" s="3" t="s">
        <v>127</v>
      </c>
      <c r="J127" s="3" t="s">
        <v>128</v>
      </c>
      <c r="K127" s="3" t="s">
        <v>943</v>
      </c>
      <c r="L127" s="3" t="s">
        <v>944</v>
      </c>
      <c r="M127" s="3"/>
      <c r="N127" s="3" t="s">
        <v>36</v>
      </c>
      <c r="O127" s="3" t="s">
        <v>56</v>
      </c>
      <c r="P127" s="3" t="s">
        <v>945</v>
      </c>
      <c r="Q127" s="3" t="s">
        <v>39</v>
      </c>
      <c r="R127" s="3" t="s">
        <v>40</v>
      </c>
      <c r="S127" s="3" t="s">
        <v>314</v>
      </c>
      <c r="T127" s="3"/>
      <c r="U127" s="3" t="n">
        <v>39722</v>
      </c>
      <c r="V127" s="3"/>
      <c r="W127" s="3" t="s">
        <v>42</v>
      </c>
      <c r="X127" s="3" t="s">
        <v>43</v>
      </c>
    </row>
    <row r="128" customFormat="false" ht="46.25" hidden="false" customHeight="false" outlineLevel="0" collapsed="false">
      <c r="A128" s="3" t="s">
        <v>946</v>
      </c>
      <c r="B128" s="3" t="s">
        <v>947</v>
      </c>
      <c r="C128" s="3" t="s">
        <v>26</v>
      </c>
      <c r="D128" s="3" t="s">
        <v>27</v>
      </c>
      <c r="E128" s="3" t="s">
        <v>124</v>
      </c>
      <c r="F128" s="3" t="s">
        <v>948</v>
      </c>
      <c r="G128" s="4" t="s">
        <v>949</v>
      </c>
      <c r="H128" s="3" t="s">
        <v>31</v>
      </c>
      <c r="I128" s="3" t="s">
        <v>127</v>
      </c>
      <c r="J128" s="3" t="s">
        <v>128</v>
      </c>
      <c r="K128" s="3" t="s">
        <v>950</v>
      </c>
      <c r="L128" s="3" t="s">
        <v>951</v>
      </c>
      <c r="M128" s="3"/>
      <c r="N128" s="3" t="s">
        <v>36</v>
      </c>
      <c r="O128" s="3" t="s">
        <v>94</v>
      </c>
      <c r="P128" s="3" t="s">
        <v>952</v>
      </c>
      <c r="Q128" s="3" t="s">
        <v>39</v>
      </c>
      <c r="R128" s="3" t="s">
        <v>40</v>
      </c>
      <c r="S128" s="3"/>
      <c r="T128" s="3"/>
      <c r="U128" s="3" t="n">
        <v>41730</v>
      </c>
      <c r="V128" s="3"/>
      <c r="W128" s="3" t="s">
        <v>42</v>
      </c>
      <c r="X128" s="3" t="s">
        <v>43</v>
      </c>
    </row>
    <row r="129" customFormat="false" ht="68.65" hidden="false" customHeight="false" outlineLevel="0" collapsed="false">
      <c r="A129" s="3" t="s">
        <v>953</v>
      </c>
      <c r="B129" s="3" t="s">
        <v>954</v>
      </c>
      <c r="C129" s="3" t="s">
        <v>26</v>
      </c>
      <c r="D129" s="3" t="s">
        <v>27</v>
      </c>
      <c r="E129" s="3" t="s">
        <v>124</v>
      </c>
      <c r="F129" s="3" t="s">
        <v>955</v>
      </c>
      <c r="G129" s="4" t="s">
        <v>956</v>
      </c>
      <c r="H129" s="3" t="s">
        <v>31</v>
      </c>
      <c r="I129" s="3" t="s">
        <v>143</v>
      </c>
      <c r="J129" s="3" t="s">
        <v>128</v>
      </c>
      <c r="K129" s="3" t="s">
        <v>957</v>
      </c>
      <c r="L129" s="3" t="s">
        <v>958</v>
      </c>
      <c r="M129" s="3"/>
      <c r="N129" s="3" t="s">
        <v>36</v>
      </c>
      <c r="O129" s="3" t="s">
        <v>56</v>
      </c>
      <c r="P129" s="3" t="s">
        <v>959</v>
      </c>
      <c r="Q129" s="3" t="s">
        <v>39</v>
      </c>
      <c r="R129" s="3" t="s">
        <v>960</v>
      </c>
      <c r="S129" s="3"/>
      <c r="T129" s="3"/>
      <c r="U129" s="3" t="n">
        <v>41730</v>
      </c>
      <c r="V129" s="3"/>
      <c r="W129" s="3" t="s">
        <v>42</v>
      </c>
      <c r="X129" s="3" t="s">
        <v>43</v>
      </c>
    </row>
    <row r="130" customFormat="false" ht="46.25" hidden="false" customHeight="false" outlineLevel="0" collapsed="false">
      <c r="A130" s="3" t="s">
        <v>961</v>
      </c>
      <c r="B130" s="3" t="s">
        <v>962</v>
      </c>
      <c r="C130" s="3" t="s">
        <v>26</v>
      </c>
      <c r="D130" s="3" t="s">
        <v>27</v>
      </c>
      <c r="E130" s="3" t="s">
        <v>124</v>
      </c>
      <c r="F130" s="3" t="s">
        <v>963</v>
      </c>
      <c r="G130" s="4" t="s">
        <v>964</v>
      </c>
      <c r="H130" s="3" t="s">
        <v>31</v>
      </c>
      <c r="I130" s="3" t="s">
        <v>127</v>
      </c>
      <c r="J130" s="3" t="s">
        <v>432</v>
      </c>
      <c r="K130" s="3" t="s">
        <v>965</v>
      </c>
      <c r="L130" s="3" t="s">
        <v>966</v>
      </c>
      <c r="M130" s="3"/>
      <c r="N130" s="3" t="s">
        <v>36</v>
      </c>
      <c r="O130" s="3" t="s">
        <v>269</v>
      </c>
      <c r="P130" s="3" t="s">
        <v>967</v>
      </c>
      <c r="Q130" s="3" t="s">
        <v>39</v>
      </c>
      <c r="R130" s="3" t="s">
        <v>968</v>
      </c>
      <c r="S130" s="3"/>
      <c r="T130" s="3"/>
      <c r="U130" s="3" t="n">
        <v>41730</v>
      </c>
      <c r="V130" s="3"/>
      <c r="W130" s="3" t="s">
        <v>42</v>
      </c>
      <c r="X130" s="3" t="s">
        <v>43</v>
      </c>
    </row>
    <row r="131" customFormat="false" ht="57.45" hidden="false" customHeight="false" outlineLevel="0" collapsed="false">
      <c r="A131" s="3" t="s">
        <v>969</v>
      </c>
      <c r="B131" s="3" t="s">
        <v>970</v>
      </c>
      <c r="C131" s="3" t="s">
        <v>26</v>
      </c>
      <c r="D131" s="3" t="s">
        <v>27</v>
      </c>
      <c r="E131" s="3" t="s">
        <v>124</v>
      </c>
      <c r="F131" s="3" t="s">
        <v>971</v>
      </c>
      <c r="G131" s="4" t="s">
        <v>972</v>
      </c>
      <c r="H131" s="3" t="s">
        <v>31</v>
      </c>
      <c r="I131" s="3" t="s">
        <v>127</v>
      </c>
      <c r="J131" s="3" t="s">
        <v>128</v>
      </c>
      <c r="K131" s="3" t="s">
        <v>973</v>
      </c>
      <c r="L131" s="3" t="s">
        <v>974</v>
      </c>
      <c r="M131" s="3"/>
      <c r="N131" s="3" t="s">
        <v>36</v>
      </c>
      <c r="O131" s="3" t="s">
        <v>120</v>
      </c>
      <c r="P131" s="3" t="s">
        <v>975</v>
      </c>
      <c r="Q131" s="3" t="s">
        <v>39</v>
      </c>
      <c r="R131" s="3" t="s">
        <v>976</v>
      </c>
      <c r="S131" s="3"/>
      <c r="T131" s="3"/>
      <c r="U131" s="3" t="n">
        <v>43245</v>
      </c>
      <c r="V131" s="3"/>
      <c r="W131" s="3" t="s">
        <v>42</v>
      </c>
      <c r="X131" s="3" t="s">
        <v>43</v>
      </c>
    </row>
    <row r="132" customFormat="false" ht="57.45" hidden="false" customHeight="false" outlineLevel="0" collapsed="false">
      <c r="A132" s="3" t="s">
        <v>977</v>
      </c>
      <c r="B132" s="3" t="s">
        <v>978</v>
      </c>
      <c r="C132" s="3" t="s">
        <v>26</v>
      </c>
      <c r="D132" s="3" t="s">
        <v>27</v>
      </c>
      <c r="E132" s="3" t="s">
        <v>253</v>
      </c>
      <c r="F132" s="3" t="s">
        <v>979</v>
      </c>
      <c r="G132" s="4" t="s">
        <v>546</v>
      </c>
      <c r="H132" s="3" t="s">
        <v>31</v>
      </c>
      <c r="I132" s="3" t="s">
        <v>163</v>
      </c>
      <c r="J132" s="3" t="s">
        <v>128</v>
      </c>
      <c r="K132" s="3" t="s">
        <v>980</v>
      </c>
      <c r="L132" s="3" t="s">
        <v>981</v>
      </c>
      <c r="M132" s="3" t="n">
        <v>7</v>
      </c>
      <c r="N132" s="3" t="s">
        <v>71</v>
      </c>
      <c r="O132" s="3" t="s">
        <v>269</v>
      </c>
      <c r="P132" s="3" t="s">
        <v>982</v>
      </c>
      <c r="Q132" s="3" t="s">
        <v>39</v>
      </c>
      <c r="R132" s="3" t="s">
        <v>983</v>
      </c>
      <c r="S132" s="3"/>
      <c r="T132" s="3"/>
      <c r="U132" s="3" t="n">
        <v>31187</v>
      </c>
      <c r="V132" s="3"/>
      <c r="W132" s="3" t="s">
        <v>42</v>
      </c>
      <c r="X132" s="3" t="s">
        <v>97</v>
      </c>
    </row>
    <row r="133" customFormat="false" ht="68.65" hidden="false" customHeight="false" outlineLevel="0" collapsed="false">
      <c r="A133" s="3" t="s">
        <v>984</v>
      </c>
      <c r="B133" s="3" t="s">
        <v>985</v>
      </c>
      <c r="C133" s="3" t="s">
        <v>26</v>
      </c>
      <c r="D133" s="3" t="s">
        <v>27</v>
      </c>
      <c r="E133" s="3" t="s">
        <v>253</v>
      </c>
      <c r="F133" s="3" t="s">
        <v>986</v>
      </c>
      <c r="G133" s="4" t="s">
        <v>987</v>
      </c>
      <c r="H133" s="3" t="s">
        <v>31</v>
      </c>
      <c r="I133" s="3" t="s">
        <v>127</v>
      </c>
      <c r="J133" s="3" t="s">
        <v>128</v>
      </c>
      <c r="K133" s="3" t="s">
        <v>988</v>
      </c>
      <c r="L133" s="3" t="s">
        <v>989</v>
      </c>
      <c r="M133" s="3"/>
      <c r="N133" s="3" t="s">
        <v>36</v>
      </c>
      <c r="O133" s="3" t="s">
        <v>269</v>
      </c>
      <c r="P133" s="3" t="s">
        <v>990</v>
      </c>
      <c r="Q133" s="3" t="s">
        <v>39</v>
      </c>
      <c r="R133" s="3" t="s">
        <v>991</v>
      </c>
      <c r="S133" s="3"/>
      <c r="T133" s="3"/>
      <c r="U133" s="3" t="n">
        <v>31187</v>
      </c>
      <c r="V133" s="3"/>
      <c r="W133" s="3" t="s">
        <v>42</v>
      </c>
      <c r="X133" s="3" t="s">
        <v>43</v>
      </c>
    </row>
    <row r="134" customFormat="false" ht="57.45" hidden="false" customHeight="false" outlineLevel="0" collapsed="false">
      <c r="A134" s="3" t="s">
        <v>992</v>
      </c>
      <c r="B134" s="3" t="s">
        <v>993</v>
      </c>
      <c r="C134" s="3" t="s">
        <v>26</v>
      </c>
      <c r="D134" s="3" t="s">
        <v>27</v>
      </c>
      <c r="E134" s="3" t="s">
        <v>124</v>
      </c>
      <c r="F134" s="3" t="s">
        <v>994</v>
      </c>
      <c r="G134" s="4" t="s">
        <v>995</v>
      </c>
      <c r="H134" s="3" t="s">
        <v>31</v>
      </c>
      <c r="I134" s="3" t="s">
        <v>265</v>
      </c>
      <c r="J134" s="3" t="s">
        <v>128</v>
      </c>
      <c r="K134" s="3" t="s">
        <v>996</v>
      </c>
      <c r="L134" s="3" t="s">
        <v>997</v>
      </c>
      <c r="M134" s="3"/>
      <c r="N134" s="3" t="s">
        <v>36</v>
      </c>
      <c r="O134" s="3" t="s">
        <v>120</v>
      </c>
      <c r="P134" s="3" t="s">
        <v>998</v>
      </c>
      <c r="Q134" s="3" t="s">
        <v>39</v>
      </c>
      <c r="R134" s="3" t="s">
        <v>40</v>
      </c>
      <c r="S134" s="3"/>
      <c r="T134" s="3"/>
      <c r="U134" s="3" t="n">
        <v>41821</v>
      </c>
      <c r="V134" s="3"/>
      <c r="W134" s="3" t="s">
        <v>42</v>
      </c>
      <c r="X134" s="3" t="s">
        <v>43</v>
      </c>
    </row>
    <row r="135" customFormat="false" ht="57.45" hidden="false" customHeight="false" outlineLevel="0" collapsed="false">
      <c r="A135" s="3" t="s">
        <v>999</v>
      </c>
      <c r="B135" s="3" t="s">
        <v>1000</v>
      </c>
      <c r="C135" s="3" t="s">
        <v>26</v>
      </c>
      <c r="D135" s="3" t="s">
        <v>27</v>
      </c>
      <c r="E135" s="3" t="s">
        <v>124</v>
      </c>
      <c r="F135" s="3" t="s">
        <v>1001</v>
      </c>
      <c r="G135" s="4" t="s">
        <v>126</v>
      </c>
      <c r="H135" s="3" t="s">
        <v>31</v>
      </c>
      <c r="I135" s="3" t="s">
        <v>127</v>
      </c>
      <c r="J135" s="3" t="s">
        <v>128</v>
      </c>
      <c r="K135" s="3" t="s">
        <v>1002</v>
      </c>
      <c r="L135" s="3" t="s">
        <v>1003</v>
      </c>
      <c r="M135" s="3"/>
      <c r="N135" s="3" t="s">
        <v>36</v>
      </c>
      <c r="O135" s="3" t="s">
        <v>120</v>
      </c>
      <c r="P135" s="3" t="s">
        <v>1004</v>
      </c>
      <c r="Q135" s="3" t="s">
        <v>39</v>
      </c>
      <c r="R135" s="3" t="s">
        <v>40</v>
      </c>
      <c r="S135" s="3"/>
      <c r="T135" s="3"/>
      <c r="U135" s="3" t="n">
        <v>43405</v>
      </c>
      <c r="V135" s="3"/>
      <c r="W135" s="3" t="s">
        <v>42</v>
      </c>
      <c r="X135" s="3" t="s">
        <v>43</v>
      </c>
    </row>
    <row r="136" customFormat="false" ht="57.45" hidden="false" customHeight="false" outlineLevel="0" collapsed="false">
      <c r="A136" s="3" t="s">
        <v>1005</v>
      </c>
      <c r="B136" s="3" t="s">
        <v>1006</v>
      </c>
      <c r="C136" s="3" t="s">
        <v>26</v>
      </c>
      <c r="D136" s="3" t="s">
        <v>27</v>
      </c>
      <c r="E136" s="3" t="s">
        <v>28</v>
      </c>
      <c r="F136" s="3" t="s">
        <v>1007</v>
      </c>
      <c r="G136" s="4" t="s">
        <v>1008</v>
      </c>
      <c r="H136" s="3" t="s">
        <v>31</v>
      </c>
      <c r="I136" s="3" t="s">
        <v>32</v>
      </c>
      <c r="J136" s="3" t="s">
        <v>33</v>
      </c>
      <c r="K136" s="3" t="s">
        <v>1009</v>
      </c>
      <c r="L136" s="3" t="s">
        <v>1010</v>
      </c>
      <c r="M136" s="3"/>
      <c r="N136" s="3" t="s">
        <v>36</v>
      </c>
      <c r="O136" s="3" t="s">
        <v>269</v>
      </c>
      <c r="P136" s="3" t="s">
        <v>1011</v>
      </c>
      <c r="Q136" s="3" t="s">
        <v>39</v>
      </c>
      <c r="R136" s="3" t="s">
        <v>1012</v>
      </c>
      <c r="S136" s="3"/>
      <c r="T136" s="3"/>
      <c r="U136" s="3" t="n">
        <v>45383</v>
      </c>
      <c r="V136" s="3"/>
      <c r="W136" s="3" t="s">
        <v>42</v>
      </c>
      <c r="X136" s="3" t="s">
        <v>43</v>
      </c>
    </row>
    <row r="137" customFormat="false" ht="46.25" hidden="false" customHeight="false" outlineLevel="0" collapsed="false">
      <c r="A137" s="3" t="s">
        <v>1013</v>
      </c>
      <c r="B137" s="3" t="s">
        <v>1014</v>
      </c>
      <c r="C137" s="3" t="s">
        <v>26</v>
      </c>
      <c r="D137" s="3" t="s">
        <v>27</v>
      </c>
      <c r="E137" s="3" t="s">
        <v>28</v>
      </c>
      <c r="F137" s="3" t="s">
        <v>1015</v>
      </c>
      <c r="G137" s="4" t="s">
        <v>585</v>
      </c>
      <c r="H137" s="3" t="s">
        <v>31</v>
      </c>
      <c r="I137" s="3" t="s">
        <v>32</v>
      </c>
      <c r="J137" s="3" t="s">
        <v>33</v>
      </c>
      <c r="K137" s="3" t="s">
        <v>1016</v>
      </c>
      <c r="L137" s="3" t="s">
        <v>1017</v>
      </c>
      <c r="M137" s="3"/>
      <c r="N137" s="3" t="s">
        <v>36</v>
      </c>
      <c r="O137" s="3" t="s">
        <v>94</v>
      </c>
      <c r="P137" s="3" t="s">
        <v>1018</v>
      </c>
      <c r="Q137" s="3" t="s">
        <v>39</v>
      </c>
      <c r="R137" s="3" t="s">
        <v>1019</v>
      </c>
      <c r="S137" s="3"/>
      <c r="T137" s="3"/>
      <c r="U137" s="3" t="n">
        <v>40848</v>
      </c>
      <c r="V137" s="3"/>
      <c r="W137" s="3" t="s">
        <v>42</v>
      </c>
      <c r="X137" s="3" t="s">
        <v>43</v>
      </c>
    </row>
    <row r="138" customFormat="false" ht="57.45" hidden="false" customHeight="false" outlineLevel="0" collapsed="false">
      <c r="A138" s="3" t="s">
        <v>1020</v>
      </c>
      <c r="B138" s="3" t="s">
        <v>1021</v>
      </c>
      <c r="C138" s="3" t="s">
        <v>26</v>
      </c>
      <c r="D138" s="3" t="s">
        <v>27</v>
      </c>
      <c r="E138" s="3" t="s">
        <v>124</v>
      </c>
      <c r="F138" s="3" t="s">
        <v>1022</v>
      </c>
      <c r="G138" s="4" t="s">
        <v>202</v>
      </c>
      <c r="H138" s="3" t="s">
        <v>31</v>
      </c>
      <c r="I138" s="3" t="s">
        <v>127</v>
      </c>
      <c r="J138" s="3" t="s">
        <v>432</v>
      </c>
      <c r="K138" s="3" t="s">
        <v>1023</v>
      </c>
      <c r="L138" s="3" t="s">
        <v>1024</v>
      </c>
      <c r="M138" s="3"/>
      <c r="N138" s="3" t="s">
        <v>36</v>
      </c>
      <c r="O138" s="3" t="s">
        <v>56</v>
      </c>
      <c r="P138" s="3" t="s">
        <v>1025</v>
      </c>
      <c r="Q138" s="3" t="s">
        <v>39</v>
      </c>
      <c r="R138" s="3" t="s">
        <v>40</v>
      </c>
      <c r="S138" s="3" t="s">
        <v>199</v>
      </c>
      <c r="T138" s="3"/>
      <c r="U138" s="3" t="n">
        <v>41730</v>
      </c>
      <c r="V138" s="3"/>
      <c r="W138" s="3" t="s">
        <v>42</v>
      </c>
      <c r="X138" s="3" t="s">
        <v>43</v>
      </c>
    </row>
    <row r="139" customFormat="false" ht="46.25" hidden="false" customHeight="false" outlineLevel="0" collapsed="false">
      <c r="A139" s="3" t="s">
        <v>1026</v>
      </c>
      <c r="B139" s="3" t="s">
        <v>1027</v>
      </c>
      <c r="C139" s="3" t="s">
        <v>26</v>
      </c>
      <c r="D139" s="3" t="s">
        <v>27</v>
      </c>
      <c r="E139" s="3" t="s">
        <v>124</v>
      </c>
      <c r="F139" s="3" t="s">
        <v>1028</v>
      </c>
      <c r="G139" s="4" t="s">
        <v>202</v>
      </c>
      <c r="H139" s="3" t="s">
        <v>117</v>
      </c>
      <c r="I139" s="3" t="s">
        <v>127</v>
      </c>
      <c r="J139" s="3" t="s">
        <v>432</v>
      </c>
      <c r="K139" s="3" t="s">
        <v>1029</v>
      </c>
      <c r="L139" s="3" t="s">
        <v>1030</v>
      </c>
      <c r="M139" s="3"/>
      <c r="N139" s="3" t="s">
        <v>36</v>
      </c>
      <c r="O139" s="3" t="s">
        <v>56</v>
      </c>
      <c r="P139" s="3" t="s">
        <v>1031</v>
      </c>
      <c r="Q139" s="3" t="s">
        <v>39</v>
      </c>
      <c r="R139" s="3" t="s">
        <v>40</v>
      </c>
      <c r="S139" s="3" t="s">
        <v>199</v>
      </c>
      <c r="T139" s="3"/>
      <c r="U139" s="3" t="n">
        <v>41730</v>
      </c>
      <c r="V139" s="3"/>
      <c r="W139" s="3" t="s">
        <v>42</v>
      </c>
      <c r="X139" s="3" t="s">
        <v>43</v>
      </c>
    </row>
    <row r="140" customFormat="false" ht="57.45" hidden="false" customHeight="false" outlineLevel="0" collapsed="false">
      <c r="A140" s="3" t="s">
        <v>1032</v>
      </c>
      <c r="B140" s="3" t="s">
        <v>1033</v>
      </c>
      <c r="C140" s="3" t="s">
        <v>26</v>
      </c>
      <c r="D140" s="3" t="s">
        <v>27</v>
      </c>
      <c r="E140" s="3" t="s">
        <v>124</v>
      </c>
      <c r="F140" s="3" t="s">
        <v>1034</v>
      </c>
      <c r="G140" s="4" t="s">
        <v>202</v>
      </c>
      <c r="H140" s="3" t="s">
        <v>117</v>
      </c>
      <c r="I140" s="3" t="s">
        <v>127</v>
      </c>
      <c r="J140" s="3" t="s">
        <v>128</v>
      </c>
      <c r="K140" s="3" t="s">
        <v>1035</v>
      </c>
      <c r="L140" s="3" t="s">
        <v>1036</v>
      </c>
      <c r="M140" s="3" t="n">
        <v>365</v>
      </c>
      <c r="N140" s="3" t="s">
        <v>103</v>
      </c>
      <c r="O140" s="3" t="s">
        <v>94</v>
      </c>
      <c r="P140" s="3" t="s">
        <v>1037</v>
      </c>
      <c r="Q140" s="3" t="s">
        <v>39</v>
      </c>
      <c r="R140" s="3" t="s">
        <v>40</v>
      </c>
      <c r="S140" s="3" t="s">
        <v>199</v>
      </c>
      <c r="T140" s="3"/>
      <c r="U140" s="3" t="n">
        <v>41730</v>
      </c>
      <c r="V140" s="3"/>
      <c r="W140" s="3" t="s">
        <v>42</v>
      </c>
      <c r="X140" s="3" t="s">
        <v>43</v>
      </c>
    </row>
    <row r="141" customFormat="false" ht="57.45" hidden="false" customHeight="false" outlineLevel="0" collapsed="false">
      <c r="A141" s="3" t="s">
        <v>1038</v>
      </c>
      <c r="B141" s="3" t="s">
        <v>1039</v>
      </c>
      <c r="C141" s="3" t="s">
        <v>26</v>
      </c>
      <c r="D141" s="3" t="s">
        <v>27</v>
      </c>
      <c r="E141" s="3" t="s">
        <v>124</v>
      </c>
      <c r="F141" s="3" t="s">
        <v>1040</v>
      </c>
      <c r="G141" s="4" t="s">
        <v>162</v>
      </c>
      <c r="H141" s="3" t="s">
        <v>31</v>
      </c>
      <c r="I141" s="3" t="s">
        <v>265</v>
      </c>
      <c r="J141" s="3" t="s">
        <v>128</v>
      </c>
      <c r="K141" s="3" t="s">
        <v>1041</v>
      </c>
      <c r="L141" s="3" t="s">
        <v>1042</v>
      </c>
      <c r="M141" s="3"/>
      <c r="N141" s="3" t="s">
        <v>36</v>
      </c>
      <c r="O141" s="3" t="s">
        <v>94</v>
      </c>
      <c r="P141" s="3" t="s">
        <v>1043</v>
      </c>
      <c r="Q141" s="3" t="s">
        <v>39</v>
      </c>
      <c r="R141" s="3" t="s">
        <v>40</v>
      </c>
      <c r="S141" s="3"/>
      <c r="T141" s="3"/>
      <c r="U141" s="3" t="n">
        <v>41730</v>
      </c>
      <c r="V141" s="3"/>
      <c r="W141" s="3" t="s">
        <v>42</v>
      </c>
      <c r="X141" s="3" t="s">
        <v>43</v>
      </c>
    </row>
    <row r="142" customFormat="false" ht="57.45" hidden="false" customHeight="false" outlineLevel="0" collapsed="false">
      <c r="A142" s="3" t="s">
        <v>1044</v>
      </c>
      <c r="B142" s="3" t="s">
        <v>1045</v>
      </c>
      <c r="C142" s="3" t="s">
        <v>26</v>
      </c>
      <c r="D142" s="3" t="s">
        <v>27</v>
      </c>
      <c r="E142" s="3" t="s">
        <v>124</v>
      </c>
      <c r="F142" s="3" t="s">
        <v>1046</v>
      </c>
      <c r="G142" s="4" t="s">
        <v>461</v>
      </c>
      <c r="H142" s="3" t="s">
        <v>31</v>
      </c>
      <c r="I142" s="3" t="s">
        <v>143</v>
      </c>
      <c r="J142" s="3" t="s">
        <v>128</v>
      </c>
      <c r="K142" s="3" t="s">
        <v>129</v>
      </c>
      <c r="L142" s="3" t="s">
        <v>1047</v>
      </c>
      <c r="M142" s="3"/>
      <c r="N142" s="3" t="s">
        <v>36</v>
      </c>
      <c r="O142" s="3" t="s">
        <v>56</v>
      </c>
      <c r="P142" s="3" t="s">
        <v>1048</v>
      </c>
      <c r="Q142" s="3" t="s">
        <v>39</v>
      </c>
      <c r="R142" s="3" t="s">
        <v>40</v>
      </c>
      <c r="S142" s="3" t="s">
        <v>458</v>
      </c>
      <c r="T142" s="3"/>
      <c r="U142" s="3" t="n">
        <v>41730</v>
      </c>
      <c r="V142" s="3"/>
      <c r="W142" s="3" t="s">
        <v>42</v>
      </c>
      <c r="X142" s="3" t="s">
        <v>43</v>
      </c>
    </row>
    <row r="143" customFormat="false" ht="79.85" hidden="false" customHeight="false" outlineLevel="0" collapsed="false">
      <c r="A143" s="3" t="s">
        <v>1049</v>
      </c>
      <c r="B143" s="3" t="s">
        <v>1050</v>
      </c>
      <c r="C143" s="3" t="s">
        <v>26</v>
      </c>
      <c r="D143" s="3" t="s">
        <v>27</v>
      </c>
      <c r="E143" s="3" t="s">
        <v>124</v>
      </c>
      <c r="F143" s="3" t="s">
        <v>1051</v>
      </c>
      <c r="G143" s="4" t="s">
        <v>461</v>
      </c>
      <c r="H143" s="3" t="s">
        <v>31</v>
      </c>
      <c r="I143" s="3" t="s">
        <v>143</v>
      </c>
      <c r="J143" s="3" t="s">
        <v>128</v>
      </c>
      <c r="K143" s="3" t="s">
        <v>129</v>
      </c>
      <c r="L143" s="3" t="s">
        <v>1052</v>
      </c>
      <c r="M143" s="3"/>
      <c r="N143" s="3" t="s">
        <v>36</v>
      </c>
      <c r="O143" s="3" t="s">
        <v>56</v>
      </c>
      <c r="P143" s="3" t="s">
        <v>1053</v>
      </c>
      <c r="Q143" s="3" t="s">
        <v>39</v>
      </c>
      <c r="R143" s="3" t="s">
        <v>40</v>
      </c>
      <c r="S143" s="3" t="s">
        <v>458</v>
      </c>
      <c r="T143" s="3"/>
      <c r="U143" s="3" t="n">
        <v>41730</v>
      </c>
      <c r="V143" s="3"/>
      <c r="W143" s="3" t="s">
        <v>42</v>
      </c>
      <c r="X143" s="3" t="s">
        <v>43</v>
      </c>
    </row>
    <row r="144" customFormat="false" ht="57.45" hidden="false" customHeight="false" outlineLevel="0" collapsed="false">
      <c r="A144" s="3" t="s">
        <v>1054</v>
      </c>
      <c r="B144" s="3" t="s">
        <v>1055</v>
      </c>
      <c r="C144" s="3" t="s">
        <v>26</v>
      </c>
      <c r="D144" s="3" t="s">
        <v>27</v>
      </c>
      <c r="E144" s="3" t="s">
        <v>28</v>
      </c>
      <c r="F144" s="3" t="s">
        <v>1056</v>
      </c>
      <c r="G144" s="4" t="s">
        <v>1057</v>
      </c>
      <c r="H144" s="3" t="s">
        <v>31</v>
      </c>
      <c r="I144" s="3" t="s">
        <v>32</v>
      </c>
      <c r="J144" s="3" t="s">
        <v>33</v>
      </c>
      <c r="K144" s="3" t="s">
        <v>1058</v>
      </c>
      <c r="L144" s="3" t="s">
        <v>1059</v>
      </c>
      <c r="M144" s="3"/>
      <c r="N144" s="3" t="s">
        <v>36</v>
      </c>
      <c r="O144" s="3" t="s">
        <v>37</v>
      </c>
      <c r="P144" s="3" t="s">
        <v>1060</v>
      </c>
      <c r="Q144" s="3" t="s">
        <v>39</v>
      </c>
      <c r="R144" s="3" t="s">
        <v>1061</v>
      </c>
      <c r="S144" s="3"/>
      <c r="T144" s="3"/>
      <c r="U144" s="3" t="n">
        <v>40848</v>
      </c>
      <c r="V144" s="3"/>
      <c r="W144" s="3" t="s">
        <v>42</v>
      </c>
      <c r="X144" s="3" t="s">
        <v>43</v>
      </c>
    </row>
    <row r="145" customFormat="false" ht="57.45" hidden="false" customHeight="false" outlineLevel="0" collapsed="false">
      <c r="A145" s="3" t="s">
        <v>1062</v>
      </c>
      <c r="B145" s="3" t="s">
        <v>1063</v>
      </c>
      <c r="C145" s="3" t="s">
        <v>26</v>
      </c>
      <c r="D145" s="3" t="s">
        <v>27</v>
      </c>
      <c r="E145" s="3" t="s">
        <v>28</v>
      </c>
      <c r="F145" s="3" t="s">
        <v>1064</v>
      </c>
      <c r="G145" s="4" t="s">
        <v>30</v>
      </c>
      <c r="H145" s="3" t="s">
        <v>117</v>
      </c>
      <c r="I145" s="3" t="s">
        <v>32</v>
      </c>
      <c r="J145" s="3" t="s">
        <v>33</v>
      </c>
      <c r="K145" s="3" t="s">
        <v>1065</v>
      </c>
      <c r="L145" s="3" t="s">
        <v>1066</v>
      </c>
      <c r="M145" s="3"/>
      <c r="N145" s="3" t="s">
        <v>36</v>
      </c>
      <c r="O145" s="3" t="s">
        <v>120</v>
      </c>
      <c r="P145" s="3" t="s">
        <v>1067</v>
      </c>
      <c r="Q145" s="3" t="s">
        <v>39</v>
      </c>
      <c r="R145" s="3" t="s">
        <v>40</v>
      </c>
      <c r="S145" s="3"/>
      <c r="T145" s="3"/>
      <c r="U145" s="3" t="n">
        <v>40848</v>
      </c>
      <c r="V145" s="3"/>
      <c r="W145" s="3" t="s">
        <v>42</v>
      </c>
      <c r="X145" s="3" t="s">
        <v>43</v>
      </c>
    </row>
    <row r="146" customFormat="false" ht="57.45" hidden="false" customHeight="false" outlineLevel="0" collapsed="false">
      <c r="A146" s="3" t="s">
        <v>1068</v>
      </c>
      <c r="B146" s="3" t="s">
        <v>1069</v>
      </c>
      <c r="C146" s="3" t="s">
        <v>26</v>
      </c>
      <c r="D146" s="3" t="s">
        <v>27</v>
      </c>
      <c r="E146" s="3" t="s">
        <v>253</v>
      </c>
      <c r="F146" s="3" t="s">
        <v>1070</v>
      </c>
      <c r="G146" s="4" t="s">
        <v>1071</v>
      </c>
      <c r="H146" s="3" t="s">
        <v>31</v>
      </c>
      <c r="I146" s="3" t="s">
        <v>265</v>
      </c>
      <c r="J146" s="3" t="s">
        <v>128</v>
      </c>
      <c r="K146" s="3" t="s">
        <v>1072</v>
      </c>
      <c r="L146" s="3" t="s">
        <v>1073</v>
      </c>
      <c r="M146" s="3" t="n">
        <v>7</v>
      </c>
      <c r="N146" s="3" t="s">
        <v>71</v>
      </c>
      <c r="O146" s="3" t="s">
        <v>56</v>
      </c>
      <c r="P146" s="3" t="s">
        <v>1074</v>
      </c>
      <c r="Q146" s="3" t="s">
        <v>39</v>
      </c>
      <c r="R146" s="3" t="s">
        <v>1075</v>
      </c>
      <c r="S146" s="3"/>
      <c r="T146" s="3"/>
      <c r="U146" s="3" t="n">
        <v>31187</v>
      </c>
      <c r="V146" s="3"/>
      <c r="W146" s="3" t="s">
        <v>42</v>
      </c>
      <c r="X146" s="3" t="s">
        <v>43</v>
      </c>
    </row>
    <row r="147" customFormat="false" ht="68.65" hidden="false" customHeight="false" outlineLevel="0" collapsed="false">
      <c r="A147" s="3" t="s">
        <v>1076</v>
      </c>
      <c r="B147" s="3" t="s">
        <v>1077</v>
      </c>
      <c r="C147" s="3" t="s">
        <v>26</v>
      </c>
      <c r="D147" s="3" t="s">
        <v>27</v>
      </c>
      <c r="E147" s="3" t="s">
        <v>253</v>
      </c>
      <c r="F147" s="3" t="s">
        <v>1078</v>
      </c>
      <c r="G147" s="4" t="s">
        <v>1079</v>
      </c>
      <c r="H147" s="3" t="s">
        <v>31</v>
      </c>
      <c r="I147" s="3" t="s">
        <v>265</v>
      </c>
      <c r="J147" s="3" t="s">
        <v>128</v>
      </c>
      <c r="K147" s="3" t="s">
        <v>1080</v>
      </c>
      <c r="L147" s="3" t="s">
        <v>1081</v>
      </c>
      <c r="M147" s="3"/>
      <c r="N147" s="3" t="s">
        <v>36</v>
      </c>
      <c r="O147" s="3" t="s">
        <v>56</v>
      </c>
      <c r="P147" s="3" t="s">
        <v>1082</v>
      </c>
      <c r="Q147" s="3" t="s">
        <v>39</v>
      </c>
      <c r="R147" s="3" t="s">
        <v>40</v>
      </c>
      <c r="S147" s="3"/>
      <c r="T147" s="3"/>
      <c r="U147" s="3" t="n">
        <v>31187</v>
      </c>
      <c r="V147" s="3"/>
      <c r="W147" s="3" t="s">
        <v>42</v>
      </c>
      <c r="X147" s="3" t="s">
        <v>43</v>
      </c>
    </row>
    <row r="148" customFormat="false" ht="57.45" hidden="false" customHeight="false" outlineLevel="0" collapsed="false">
      <c r="A148" s="3" t="s">
        <v>1083</v>
      </c>
      <c r="B148" s="3" t="s">
        <v>1084</v>
      </c>
      <c r="C148" s="3" t="s">
        <v>26</v>
      </c>
      <c r="D148" s="3" t="s">
        <v>27</v>
      </c>
      <c r="E148" s="3" t="s">
        <v>253</v>
      </c>
      <c r="F148" s="3" t="s">
        <v>1085</v>
      </c>
      <c r="G148" s="4" t="s">
        <v>1086</v>
      </c>
      <c r="H148" s="3" t="s">
        <v>31</v>
      </c>
      <c r="I148" s="3" t="s">
        <v>127</v>
      </c>
      <c r="J148" s="3" t="s">
        <v>128</v>
      </c>
      <c r="K148" s="3" t="s">
        <v>1087</v>
      </c>
      <c r="L148" s="3" t="s">
        <v>1088</v>
      </c>
      <c r="M148" s="3" t="n">
        <v>30</v>
      </c>
      <c r="N148" s="3" t="s">
        <v>103</v>
      </c>
      <c r="O148" s="3" t="s">
        <v>269</v>
      </c>
      <c r="P148" s="3" t="s">
        <v>1089</v>
      </c>
      <c r="Q148" s="3" t="s">
        <v>39</v>
      </c>
      <c r="R148" s="3" t="s">
        <v>1090</v>
      </c>
      <c r="S148" s="3"/>
      <c r="T148" s="3"/>
      <c r="U148" s="3" t="n">
        <v>43245</v>
      </c>
      <c r="V148" s="3"/>
      <c r="W148" s="3" t="s">
        <v>42</v>
      </c>
      <c r="X148" s="3" t="s">
        <v>43</v>
      </c>
    </row>
    <row r="149" customFormat="false" ht="68.65" hidden="false" customHeight="false" outlineLevel="0" collapsed="false">
      <c r="A149" s="3" t="s">
        <v>1091</v>
      </c>
      <c r="B149" s="3" t="s">
        <v>1092</v>
      </c>
      <c r="C149" s="3" t="s">
        <v>26</v>
      </c>
      <c r="D149" s="3" t="s">
        <v>27</v>
      </c>
      <c r="E149" s="3" t="s">
        <v>124</v>
      </c>
      <c r="F149" s="3" t="s">
        <v>1093</v>
      </c>
      <c r="G149" s="4" t="s">
        <v>126</v>
      </c>
      <c r="H149" s="3" t="s">
        <v>31</v>
      </c>
      <c r="I149" s="3" t="s">
        <v>127</v>
      </c>
      <c r="J149" s="3" t="s">
        <v>128</v>
      </c>
      <c r="K149" s="3" t="s">
        <v>702</v>
      </c>
      <c r="L149" s="3" t="s">
        <v>1094</v>
      </c>
      <c r="M149" s="3"/>
      <c r="N149" s="3" t="s">
        <v>36</v>
      </c>
      <c r="O149" s="3" t="s">
        <v>56</v>
      </c>
      <c r="P149" s="3" t="s">
        <v>1095</v>
      </c>
      <c r="Q149" s="3" t="s">
        <v>39</v>
      </c>
      <c r="R149" s="3" t="s">
        <v>40</v>
      </c>
      <c r="S149" s="3" t="s">
        <v>122</v>
      </c>
      <c r="T149" s="3"/>
      <c r="U149" s="3" t="n">
        <v>43405</v>
      </c>
      <c r="V149" s="3"/>
      <c r="W149" s="3" t="s">
        <v>42</v>
      </c>
      <c r="X149" s="3" t="s">
        <v>43</v>
      </c>
    </row>
    <row r="150" customFormat="false" ht="57.45" hidden="false" customHeight="false" outlineLevel="0" collapsed="false">
      <c r="A150" s="3" t="s">
        <v>1096</v>
      </c>
      <c r="B150" s="3" t="s">
        <v>1097</v>
      </c>
      <c r="C150" s="3" t="s">
        <v>26</v>
      </c>
      <c r="D150" s="3" t="s">
        <v>27</v>
      </c>
      <c r="E150" s="3" t="s">
        <v>124</v>
      </c>
      <c r="F150" s="3" t="s">
        <v>1098</v>
      </c>
      <c r="G150" s="4" t="s">
        <v>126</v>
      </c>
      <c r="H150" s="3" t="s">
        <v>31</v>
      </c>
      <c r="I150" s="3" t="s">
        <v>1099</v>
      </c>
      <c r="J150" s="3" t="s">
        <v>128</v>
      </c>
      <c r="K150" s="3" t="s">
        <v>1100</v>
      </c>
      <c r="L150" s="3" t="s">
        <v>1101</v>
      </c>
      <c r="M150" s="3"/>
      <c r="N150" s="3" t="s">
        <v>36</v>
      </c>
      <c r="O150" s="3" t="s">
        <v>56</v>
      </c>
      <c r="P150" s="3" t="s">
        <v>1102</v>
      </c>
      <c r="Q150" s="3" t="s">
        <v>39</v>
      </c>
      <c r="R150" s="3" t="s">
        <v>40</v>
      </c>
      <c r="S150" s="3" t="s">
        <v>122</v>
      </c>
      <c r="T150" s="3"/>
      <c r="U150" s="3" t="n">
        <v>43405</v>
      </c>
      <c r="V150" s="3"/>
      <c r="W150" s="3" t="s">
        <v>42</v>
      </c>
      <c r="X150" s="3" t="s">
        <v>43</v>
      </c>
    </row>
    <row r="151" customFormat="false" ht="46.25" hidden="false" customHeight="false" outlineLevel="0" collapsed="false">
      <c r="A151" s="3" t="s">
        <v>1103</v>
      </c>
      <c r="B151" s="3" t="s">
        <v>1104</v>
      </c>
      <c r="C151" s="3" t="s">
        <v>26</v>
      </c>
      <c r="D151" s="3" t="s">
        <v>27</v>
      </c>
      <c r="E151" s="3" t="s">
        <v>28</v>
      </c>
      <c r="F151" s="3" t="s">
        <v>1105</v>
      </c>
      <c r="G151" s="4" t="s">
        <v>1057</v>
      </c>
      <c r="H151" s="3" t="s">
        <v>31</v>
      </c>
      <c r="I151" s="3" t="s">
        <v>32</v>
      </c>
      <c r="J151" s="3" t="s">
        <v>33</v>
      </c>
      <c r="K151" s="3" t="s">
        <v>883</v>
      </c>
      <c r="L151" s="3" t="s">
        <v>1106</v>
      </c>
      <c r="M151" s="3"/>
      <c r="N151" s="3" t="s">
        <v>36</v>
      </c>
      <c r="O151" s="3" t="s">
        <v>37</v>
      </c>
      <c r="P151" s="3" t="s">
        <v>1107</v>
      </c>
      <c r="Q151" s="3" t="s">
        <v>39</v>
      </c>
      <c r="R151" s="3" t="s">
        <v>40</v>
      </c>
      <c r="S151" s="3"/>
      <c r="T151" s="3"/>
      <c r="U151" s="3" t="n">
        <v>40848</v>
      </c>
      <c r="V151" s="3"/>
      <c r="W151" s="3" t="s">
        <v>42</v>
      </c>
      <c r="X151" s="3" t="s">
        <v>43</v>
      </c>
    </row>
    <row r="152" customFormat="false" ht="68.65" hidden="false" customHeight="false" outlineLevel="0" collapsed="false">
      <c r="A152" s="3" t="s">
        <v>1108</v>
      </c>
      <c r="B152" s="3" t="s">
        <v>1109</v>
      </c>
      <c r="C152" s="3" t="s">
        <v>26</v>
      </c>
      <c r="D152" s="3" t="s">
        <v>27</v>
      </c>
      <c r="E152" s="3" t="s">
        <v>374</v>
      </c>
      <c r="F152" s="3" t="s">
        <v>1110</v>
      </c>
      <c r="G152" s="4" t="s">
        <v>419</v>
      </c>
      <c r="H152" s="3" t="s">
        <v>31</v>
      </c>
      <c r="I152" s="3" t="s">
        <v>127</v>
      </c>
      <c r="J152" s="3" t="s">
        <v>33</v>
      </c>
      <c r="K152" s="3" t="s">
        <v>801</v>
      </c>
      <c r="L152" s="3" t="s">
        <v>1111</v>
      </c>
      <c r="M152" s="3"/>
      <c r="N152" s="3" t="s">
        <v>36</v>
      </c>
      <c r="O152" s="3" t="s">
        <v>120</v>
      </c>
      <c r="P152" s="3" t="s">
        <v>1112</v>
      </c>
      <c r="Q152" s="3" t="s">
        <v>39</v>
      </c>
      <c r="R152" s="3" t="s">
        <v>40</v>
      </c>
      <c r="S152" s="3" t="s">
        <v>798</v>
      </c>
      <c r="T152" s="3"/>
      <c r="U152" s="3" t="n">
        <v>45138</v>
      </c>
      <c r="V152" s="3"/>
      <c r="W152" s="3" t="s">
        <v>42</v>
      </c>
      <c r="X152" s="3" t="s">
        <v>43</v>
      </c>
    </row>
    <row r="153" customFormat="false" ht="57.45" hidden="false" customHeight="false" outlineLevel="0" collapsed="false">
      <c r="A153" s="3" t="s">
        <v>1113</v>
      </c>
      <c r="B153" s="3" t="s">
        <v>1114</v>
      </c>
      <c r="C153" s="3" t="s">
        <v>26</v>
      </c>
      <c r="D153" s="3" t="s">
        <v>27</v>
      </c>
      <c r="E153" s="3" t="s">
        <v>374</v>
      </c>
      <c r="F153" s="3" t="s">
        <v>1115</v>
      </c>
      <c r="G153" s="4" t="s">
        <v>425</v>
      </c>
      <c r="H153" s="3" t="s">
        <v>31</v>
      </c>
      <c r="I153" s="3" t="s">
        <v>32</v>
      </c>
      <c r="J153" s="3" t="s">
        <v>33</v>
      </c>
      <c r="K153" s="3" t="s">
        <v>680</v>
      </c>
      <c r="L153" s="3" t="s">
        <v>1116</v>
      </c>
      <c r="M153" s="3"/>
      <c r="N153" s="3" t="s">
        <v>36</v>
      </c>
      <c r="O153" s="3" t="s">
        <v>120</v>
      </c>
      <c r="P153" s="3" t="s">
        <v>1117</v>
      </c>
      <c r="Q153" s="3" t="s">
        <v>39</v>
      </c>
      <c r="R153" s="3" t="s">
        <v>40</v>
      </c>
      <c r="S153" s="3" t="s">
        <v>676</v>
      </c>
      <c r="T153" s="3"/>
      <c r="U153" s="3" t="n">
        <v>45138</v>
      </c>
      <c r="V153" s="3"/>
      <c r="W153" s="3" t="s">
        <v>42</v>
      </c>
      <c r="X153" s="3" t="s">
        <v>43</v>
      </c>
    </row>
    <row r="154" customFormat="false" ht="57.45" hidden="false" customHeight="false" outlineLevel="0" collapsed="false">
      <c r="A154" s="3" t="s">
        <v>1118</v>
      </c>
      <c r="B154" s="3" t="s">
        <v>1119</v>
      </c>
      <c r="C154" s="3" t="s">
        <v>26</v>
      </c>
      <c r="D154" s="3" t="s">
        <v>27</v>
      </c>
      <c r="E154" s="3" t="s">
        <v>374</v>
      </c>
      <c r="F154" s="3" t="s">
        <v>390</v>
      </c>
      <c r="G154" s="4" t="s">
        <v>384</v>
      </c>
      <c r="H154" s="3" t="s">
        <v>31</v>
      </c>
      <c r="I154" s="3" t="s">
        <v>127</v>
      </c>
      <c r="J154" s="3" t="s">
        <v>33</v>
      </c>
      <c r="K154" s="3" t="s">
        <v>856</v>
      </c>
      <c r="L154" s="3" t="s">
        <v>1120</v>
      </c>
      <c r="M154" s="3"/>
      <c r="N154" s="3" t="s">
        <v>36</v>
      </c>
      <c r="O154" s="3" t="s">
        <v>120</v>
      </c>
      <c r="P154" s="3" t="s">
        <v>1121</v>
      </c>
      <c r="Q154" s="3" t="s">
        <v>39</v>
      </c>
      <c r="R154" s="3" t="s">
        <v>40</v>
      </c>
      <c r="S154" s="3" t="s">
        <v>852</v>
      </c>
      <c r="T154" s="3"/>
      <c r="U154" s="3" t="n">
        <v>45138</v>
      </c>
      <c r="V154" s="3"/>
      <c r="W154" s="3" t="s">
        <v>42</v>
      </c>
      <c r="X154" s="3" t="s">
        <v>43</v>
      </c>
    </row>
  </sheetData>
  <hyperlinks>
    <hyperlink ref="G2" r:id="rId1" display="https://www.handbook.fca.org.uk/handbook/DISP/1/4.html"/>
    <hyperlink ref="G3" r:id="rId2" display="https://www.handbook.fca.org.uk/handbook/DISP/1/4.html"/>
    <hyperlink ref="G4" r:id="rId3" display="https://www.handbook.fca.org.uk/handbook/DISP/1/4.html"/>
    <hyperlink ref="G5" r:id="rId4" display="https://www.handbook.fca.org.uk/handbook/DISP/1/4.html"/>
    <hyperlink ref="G6" r:id="rId5" display="https://www.handbook.fca.org.uk/handbook/DISP/1/5.html"/>
    <hyperlink ref="G7" r:id="rId6" display="https://www.handbook.fca.org.uk/handbook/DISP/1/5.html"/>
    <hyperlink ref="G8" r:id="rId7" display="https://www.handbook.fca.org.uk/handbook/DISP/1/6.html"/>
    <hyperlink ref="G9" r:id="rId8" display="https://www.handbook.fca.org.uk/handbook/DISP/1/6.html"/>
    <hyperlink ref="G10" r:id="rId9" display="https://www.handbook.fca.org.uk/handbook/DISP/1/6.html"/>
    <hyperlink ref="G11" r:id="rId10" display="https://www.handbook.fca.org.uk/handbook/DISP/1/6.html"/>
    <hyperlink ref="G12" r:id="rId11" display="https://www.handbook.fca.org.uk/handbook/DISP/1/6.html"/>
    <hyperlink ref="G13" r:id="rId12" display="https://www.handbook.fca.org.uk/handbook/CONC/5/2A.html"/>
    <hyperlink ref="G14" r:id="rId13" display="https://www.handbook.fca.org.uk/handbook/CONC/5/2A.html"/>
    <hyperlink ref="G15" r:id="rId14" display="https://www.handbook.fca.org.uk/handbook/CONC/5/2A.html"/>
    <hyperlink ref="G16" r:id="rId15" display="https://www.handbook.fca.org.uk/handbook/CONC/5/2A.html"/>
    <hyperlink ref="G18" r:id="rId16" display="https://www.handbook.fca.org.uk/handbook/CONC/6/7.html"/>
    <hyperlink ref="G19" r:id="rId17" display="https://www.handbook.fca.org.uk/handbook/CONC/6/7.html"/>
    <hyperlink ref="G20" r:id="rId18" display="https://www.handbook.fca.org.uk/handbook/CONC/6/7.html"/>
    <hyperlink ref="G21" r:id="rId19" display="https://www.handbook.fca.org.uk/handbook/CONC/6/7.html"/>
    <hyperlink ref="G22" r:id="rId20" display="https://www.handbook.fca.org.uk/handbook/CONC/6/7.html"/>
    <hyperlink ref="G23" r:id="rId21" display="https://www.handbook.fca.org.uk/handbook/CONC/7/3.html"/>
    <hyperlink ref="G24" r:id="rId22" display="https://www.handbook.fca.org.uk/handbook/CONC/7/3.html"/>
    <hyperlink ref="G25" r:id="rId23" display="https://www.handbook.fca.org.uk/handbook/CONC/7/3.html"/>
    <hyperlink ref="G26" r:id="rId24" display="https://www.handbook.fca.org.uk/handbook/CONC/7/3.html"/>
    <hyperlink ref="G27" r:id="rId25" display="https://www.handbook.fca.org.uk/handbook/CONC/7/3.html"/>
    <hyperlink ref="G28" r:id="rId26" display="https://www.handbook.fca.org.uk/handbook/CONC/7/3.html"/>
    <hyperlink ref="G29" r:id="rId27" display="https://www.handbook.fca.org.uk/handbook/CONC/7/7.html"/>
    <hyperlink ref="G30" r:id="rId28" display="https://www.handbook.fca.org.uk/handbook/CONC/7/6.html"/>
    <hyperlink ref="G31" r:id="rId29" display="https://www.legislation.gov.uk/ukpga/1974/39/section/75"/>
    <hyperlink ref="G32" r:id="rId30" display="https://www.legislation.gov.uk/ukpga/1974/39/section/77"/>
    <hyperlink ref="G33" r:id="rId31" display="https://www.legislation.gov.uk/ukpga/1974/39/section/78"/>
    <hyperlink ref="G34" r:id="rId32" display="https://www.legislation.gov.uk/ukpga/1974/39/section/78A"/>
    <hyperlink ref="G35" r:id="rId33" display="https://www.legislation.gov.uk/ukpga/1974/39/section/86B"/>
    <hyperlink ref="G36" r:id="rId34" display="https://www.legislation.gov.uk/ukpga/1974/39/section/86C"/>
    <hyperlink ref="G37" r:id="rId35" display="https://www.legislation.gov.uk/ukpga/1974/39/section/86D"/>
    <hyperlink ref="G38" r:id="rId36" display="https://www.legislation.gov.uk/ukpga/1974/39/section/86E"/>
    <hyperlink ref="G39" r:id="rId37" display="https://www.legislation.gov.uk/ukpga/1974/39/section/86F"/>
    <hyperlink ref="G40" r:id="rId38" display="https://www.legislation.gov.uk/ukpga/1974/39/section/87"/>
    <hyperlink ref="G41" r:id="rId39" display="https://www.fca.org.uk/publication/policy/ps26-1.pdf"/>
    <hyperlink ref="G42" r:id="rId40" display="https://www.fca.org.uk/publication/policy/ps26-1.pdf"/>
    <hyperlink ref="G43" r:id="rId41" display="https://www.fca.org.uk/publication/policy/ps26-1.pdf"/>
    <hyperlink ref="G44" r:id="rId42" display="https://www.fca.org.uk/publication/policy/ps26-1.pdf"/>
    <hyperlink ref="G45" r:id="rId43" display="https://www.fca.org.uk/publication/policy/ps26-1.pdf"/>
    <hyperlink ref="G46" r:id="rId44" display="https://www.handbook.fca.org.uk/handbook/PRIN/2/1.html"/>
    <hyperlink ref="G47" r:id="rId45" display="https://www.handbook.fca.org.uk/handbook/PRIN/2A/2.html"/>
    <hyperlink ref="G48" r:id="rId46" display="https://www.handbook.fca.org.uk/handbook/PRIN/2A/2.html"/>
    <hyperlink ref="G49" r:id="rId47" display="https://www.handbook.fca.org.uk/handbook/PRIN/2A/2.html"/>
    <hyperlink ref="G50" r:id="rId48" display="https://www.handbook.fca.org.uk/handbook/PRIN/2A/3.html"/>
    <hyperlink ref="G51" r:id="rId49" display="https://www.handbook.fca.org.uk/handbook/PRIN/2A/4.html"/>
    <hyperlink ref="G52" r:id="rId50" display="https://www.handbook.fca.org.uk/handbook/PRIN/2A/5.html"/>
    <hyperlink ref="G53" r:id="rId51" display="https://www.handbook.fca.org.uk/handbook/PRIN/2A/6.html"/>
    <hyperlink ref="G54" r:id="rId52" display="https://www.handbook.fca.org.uk/handbook/PRIN/2A/6.html"/>
    <hyperlink ref="G55" r:id="rId53" display="https://www.handbook.fca.org.uk/handbook/PRIN/2A/8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50"/>
  </cols>
  <sheetData>
    <row r="1" customFormat="false" ht="18" hidden="false" customHeight="true" outlineLevel="0" collapsed="false">
      <c r="A1" s="6" t="s">
        <v>1122</v>
      </c>
    </row>
    <row r="3" customFormat="false" ht="15" hidden="false" customHeight="true" outlineLevel="0" collapsed="false">
      <c r="A3" s="1" t="s">
        <v>1123</v>
      </c>
      <c r="B3" s="1" t="s">
        <v>1124</v>
      </c>
    </row>
    <row r="4" customFormat="false" ht="15" hidden="false" customHeight="true" outlineLevel="0" collapsed="false">
      <c r="A4" s="1" t="s">
        <v>1125</v>
      </c>
      <c r="B4" s="1" t="n">
        <f aca="false">COUNTA(obligation_library!A2:A154)</f>
        <v>153</v>
      </c>
    </row>
    <row r="5" customFormat="false" ht="15" hidden="false" customHeight="true" outlineLevel="0" collapsed="false">
      <c r="A5" s="1" t="s">
        <v>1126</v>
      </c>
      <c r="B5" s="1" t="s">
        <v>1127</v>
      </c>
    </row>
    <row r="6" customFormat="false" ht="15" hidden="false" customHeight="true" outlineLevel="0" collapsed="false">
      <c r="A6" s="1" t="s">
        <v>1128</v>
      </c>
      <c r="B6" s="1" t="s">
        <v>1129</v>
      </c>
    </row>
    <row r="7" customFormat="false" ht="15" hidden="false" customHeight="true" outlineLevel="0" collapsed="false"/>
    <row r="9" customFormat="false" ht="15" hidden="false" customHeight="true" outlineLevel="0" collapsed="false">
      <c r="A9" s="7" t="s">
        <v>1130</v>
      </c>
      <c r="B9" s="1" t="s">
        <v>1131</v>
      </c>
    </row>
    <row r="10" customFormat="false" ht="15" hidden="false" customHeight="true" outlineLevel="0" collapsed="false">
      <c r="A10" s="8" t="s">
        <v>1123</v>
      </c>
      <c r="B10" s="1" t="s">
        <v>1124</v>
      </c>
    </row>
    <row r="11" customFormat="false" ht="15" hidden="false" customHeight="true" outlineLevel="0" collapsed="false">
      <c r="A11" s="8"/>
    </row>
    <row r="12" customFormat="false" ht="15" hidden="false" customHeight="true" outlineLevel="0" collapsed="false">
      <c r="A12" s="8" t="s">
        <v>1132</v>
      </c>
    </row>
    <row r="13" customFormat="false" ht="15" hidden="false" customHeight="true" outlineLevel="0" collapsed="false">
      <c r="A13" s="8" t="s">
        <v>1133</v>
      </c>
      <c r="B13" s="1" t="s">
        <v>1134</v>
      </c>
    </row>
    <row r="14" customFormat="false" ht="15" hidden="false" customHeight="true" outlineLevel="0" collapsed="false">
      <c r="A14" s="8" t="s">
        <v>1135</v>
      </c>
      <c r="B14" s="1" t="s">
        <v>1136</v>
      </c>
    </row>
    <row r="15" customFormat="false" ht="15" hidden="false" customHeight="true" outlineLevel="0" collapsed="false">
      <c r="A15" s="8" t="s">
        <v>1137</v>
      </c>
      <c r="B15" s="1" t="s">
        <v>1138</v>
      </c>
    </row>
    <row r="16" customFormat="false" ht="15" hidden="false" customHeight="true" outlineLevel="0" collapsed="false">
      <c r="A16" s="8" t="s">
        <v>1139</v>
      </c>
      <c r="B16" s="1" t="s">
        <v>1140</v>
      </c>
    </row>
    <row r="17" customFormat="false" ht="15" hidden="false" customHeight="true" outlineLevel="0" collapsed="false">
      <c r="A17" s="8" t="s">
        <v>1141</v>
      </c>
      <c r="B17" s="1" t="s">
        <v>1142</v>
      </c>
    </row>
    <row r="18" customFormat="false" ht="15" hidden="false" customHeight="true" outlineLevel="0" collapsed="false">
      <c r="A18" s="8" t="s">
        <v>1143</v>
      </c>
      <c r="B18" s="1" t="s">
        <v>1144</v>
      </c>
    </row>
    <row r="19" customFormat="false" ht="15" hidden="false" customHeight="true" outlineLevel="0" collapsed="false">
      <c r="A19" s="8" t="s">
        <v>1145</v>
      </c>
      <c r="B19" s="1" t="s">
        <v>1146</v>
      </c>
    </row>
    <row r="20" customFormat="false" ht="45" hidden="false" customHeight="true" outlineLevel="0" collapsed="false">
      <c r="A20" s="1" t="s">
        <v>1147</v>
      </c>
      <c r="B20" s="1" t="s">
        <v>1148</v>
      </c>
    </row>
    <row r="21" customFormat="false" ht="45" hidden="false" customHeight="true" outlineLevel="0" collapsed="false">
      <c r="A21" s="1" t="s">
        <v>1149</v>
      </c>
      <c r="B21" s="1" t="s">
        <v>1150</v>
      </c>
    </row>
    <row r="22" customFormat="false" ht="45" hidden="false" customHeight="true" outlineLevel="0" collapsed="false">
      <c r="A22" s="1" t="s">
        <v>1151</v>
      </c>
      <c r="B22" s="1" t="s">
        <v>1152</v>
      </c>
    </row>
    <row r="23" customFormat="false" ht="45" hidden="false" customHeight="true" outlineLevel="0" collapsed="false"/>
    <row r="24" customFormat="false" ht="45" hidden="false" customHeight="true" outlineLevel="0" collapsed="false">
      <c r="A24" s="1" t="s">
        <v>1153</v>
      </c>
    </row>
    <row r="25" customFormat="false" ht="45" hidden="false" customHeight="true" outlineLevel="0" collapsed="false">
      <c r="A25" s="1" t="s">
        <v>1125</v>
      </c>
      <c r="B25" s="1" t="n">
        <f aca="false">COUNTA(obligation_library!A2:A154)</f>
        <v>153</v>
      </c>
    </row>
    <row r="26" customFormat="false" ht="45" hidden="false" customHeight="true" outlineLevel="0" collapsed="false">
      <c r="A26" s="1" t="s">
        <v>1154</v>
      </c>
      <c r="B26" s="1" t="n">
        <f aca="false">COUNTIF(obligation_library!X2:X154,"approved")</f>
        <v>141</v>
      </c>
    </row>
    <row r="27" customFormat="false" ht="45" hidden="false" customHeight="true" outlineLevel="0" collapsed="false">
      <c r="A27" s="1" t="s">
        <v>1155</v>
      </c>
      <c r="B27" s="1" t="n">
        <f aca="false">COUNTIF(obligation_library!X2:X154,"peer_review")</f>
        <v>12</v>
      </c>
    </row>
    <row r="28" customFormat="false" ht="45" hidden="false" customHeight="true" outlineLevel="0" collapsed="false">
      <c r="A28" s="1" t="s">
        <v>1156</v>
      </c>
      <c r="B28" s="1" t="n">
        <f aca="false">COUNTIF(obligation_library!X2:X154,"draft")</f>
        <v>0</v>
      </c>
    </row>
    <row r="29" customFormat="false" ht="45" hidden="false" customHeight="true" outlineLevel="0" collapsed="false">
      <c r="A29" s="1" t="s">
        <v>1157</v>
      </c>
    </row>
    <row r="30" customFormat="false" ht="15" hidden="false" customHeight="true" outlineLevel="0" collapsed="false">
      <c r="A30" s="1" t="s">
        <v>28</v>
      </c>
      <c r="B30" s="1" t="n">
        <f aca="false">COUNTIF(obligation_library!E2:E154,"DISP")</f>
        <v>31</v>
      </c>
    </row>
    <row r="31" customFormat="false" ht="15" hidden="false" customHeight="true" outlineLevel="0" collapsed="false">
      <c r="A31" s="1" t="s">
        <v>124</v>
      </c>
      <c r="B31" s="1" t="n">
        <f aca="false">COUNTIF(obligation_library!E2:E154,"CONC")</f>
        <v>64</v>
      </c>
    </row>
    <row r="32" customFormat="false" ht="15" hidden="false" customHeight="true" outlineLevel="0" collapsed="false">
      <c r="A32" s="1" t="s">
        <v>253</v>
      </c>
      <c r="B32" s="1" t="n">
        <f aca="false">COUNTIF(obligation_library!E2:E154,"CCA")</f>
        <v>30</v>
      </c>
    </row>
    <row r="33" customFormat="false" ht="15" hidden="false" customHeight="true" outlineLevel="0" collapsed="false">
      <c r="A33" s="1" t="s">
        <v>339</v>
      </c>
      <c r="B33" s="1" t="n">
        <f aca="false">COUNTIF(obligation_library!E2:E154,"BNPL")</f>
        <v>5</v>
      </c>
    </row>
    <row r="34" customFormat="false" ht="15" hidden="false" customHeight="true" outlineLevel="0" collapsed="false">
      <c r="A34" s="1" t="s">
        <v>374</v>
      </c>
      <c r="B34" s="1" t="n">
        <f aca="false">COUNTIF(obligation_library!E2:E154,"CONSUMER_DUTY")</f>
        <v>23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" t="s">
        <v>1158</v>
      </c>
    </row>
    <row r="37" customFormat="false" ht="15" hidden="false" customHeight="true" outlineLevel="0" collapsed="false">
      <c r="A37" s="1" t="s">
        <v>1159</v>
      </c>
      <c r="B37" s="1" t="s">
        <v>1160</v>
      </c>
    </row>
    <row r="38" customFormat="false" ht="15" hidden="false" customHeight="true" outlineLevel="0" collapsed="false">
      <c r="A38" s="1" t="s">
        <v>1161</v>
      </c>
      <c r="B38" s="1" t="s">
        <v>1162</v>
      </c>
    </row>
    <row r="39" customFormat="false" ht="15" hidden="false" customHeight="true" outlineLevel="0" collapsed="false">
      <c r="A39" s="1" t="s">
        <v>1163</v>
      </c>
      <c r="B39" s="1" t="s">
        <v>1164</v>
      </c>
    </row>
    <row r="40" customFormat="false" ht="15" hidden="false" customHeight="true" outlineLevel="0" collapsed="false">
      <c r="A40" s="1" t="s">
        <v>1165</v>
      </c>
      <c r="B40" s="1" t="s">
        <v>1166</v>
      </c>
    </row>
    <row r="41" customFormat="false" ht="15" hidden="false" customHeight="true" outlineLevel="0" collapsed="false">
      <c r="A41" s="1" t="s">
        <v>1167</v>
      </c>
      <c r="B41" s="1" t="s">
        <v>1168</v>
      </c>
    </row>
    <row r="42" customFormat="false" ht="15" hidden="false" customHeight="true" outlineLevel="0" collapsed="false">
      <c r="A42" s="1" t="s">
        <v>1169</v>
      </c>
      <c r="B42" s="1" t="s">
        <v>1170</v>
      </c>
    </row>
    <row r="43" customFormat="false" ht="15" hidden="false" customHeight="true" outlineLevel="0" collapsed="false">
      <c r="A43" s="1" t="s">
        <v>1171</v>
      </c>
      <c r="B43" s="1" t="s">
        <v>1172</v>
      </c>
    </row>
    <row r="44" customFormat="false" ht="15" hidden="false" customHeight="true" outlineLevel="0" collapsed="false">
      <c r="A44" s="1" t="s">
        <v>1173</v>
      </c>
      <c r="B44" s="1" t="s">
        <v>1174</v>
      </c>
    </row>
    <row r="45" customFormat="false" ht="15" hidden="false" customHeight="true" outlineLevel="0" collapsed="false">
      <c r="A45" s="1" t="s">
        <v>23</v>
      </c>
      <c r="B45" s="1" t="s">
        <v>1175</v>
      </c>
    </row>
    <row r="46" customFormat="false" ht="15" hidden="false" customHeight="true" outlineLevel="0" collapsed="false">
      <c r="A46" s="1" t="s">
        <v>1176</v>
      </c>
      <c r="B46" s="1" t="s">
        <v>1177</v>
      </c>
    </row>
    <row r="47" customFormat="false" ht="15" hidden="false" customHeight="true" outlineLevel="0" collapsed="false">
      <c r="A47" s="1" t="s">
        <v>1178</v>
      </c>
      <c r="B47" s="1" t="s">
        <v>1179</v>
      </c>
    </row>
    <row r="48" customFormat="false" ht="15" hidden="false" customHeight="true" outlineLevel="0" collapsed="false"/>
    <row r="49" customFormat="false" ht="15" hidden="false" customHeight="true" outlineLevel="0" collapsed="false">
      <c r="A49" s="1" t="s">
        <v>1180</v>
      </c>
    </row>
    <row r="50" customFormat="false" ht="15" hidden="false" customHeight="true" outlineLevel="0" collapsed="false">
      <c r="A50" s="1" t="s">
        <v>1181</v>
      </c>
      <c r="B50" s="1" t="s">
        <v>1182</v>
      </c>
    </row>
    <row r="51" customFormat="false" ht="15" hidden="false" customHeight="true" outlineLevel="0" collapsed="false">
      <c r="A51" s="1" t="s">
        <v>1183</v>
      </c>
      <c r="B51" s="1" t="s">
        <v>1184</v>
      </c>
    </row>
    <row r="52" customFormat="false" ht="15" hidden="false" customHeight="true" outlineLevel="0" collapsed="false">
      <c r="A52" s="1" t="s">
        <v>1185</v>
      </c>
      <c r="B52" s="1" t="s">
        <v>1186</v>
      </c>
    </row>
    <row r="54" customFormat="false" ht="15" hidden="false" customHeight="false" outlineLevel="0" collapsed="false">
      <c r="A54" s="1" t="s">
        <v>1187</v>
      </c>
    </row>
    <row r="55" customFormat="false" ht="15" hidden="false" customHeight="false" outlineLevel="0" collapsed="false">
      <c r="A55" s="1" t="s">
        <v>1188</v>
      </c>
      <c r="B55" s="1" t="s">
        <v>1189</v>
      </c>
    </row>
    <row r="56" customFormat="false" ht="15" hidden="false" customHeight="false" outlineLevel="0" collapsed="false">
      <c r="A56" s="1" t="s">
        <v>1190</v>
      </c>
      <c r="B56" s="1" t="s">
        <v>1191</v>
      </c>
    </row>
    <row r="57" customFormat="false" ht="15" hidden="false" customHeight="false" outlineLevel="0" collapsed="false">
      <c r="A57" s="1" t="s">
        <v>1192</v>
      </c>
      <c r="B57" s="1" t="s">
        <v>1193</v>
      </c>
    </row>
    <row r="58" customFormat="false" ht="15" hidden="false" customHeight="false" outlineLevel="0" collapsed="false">
      <c r="A58" s="1" t="s">
        <v>1194</v>
      </c>
      <c r="B58" s="1" t="s">
        <v>1195</v>
      </c>
    </row>
    <row r="59" customFormat="false" ht="15" hidden="false" customHeight="false" outlineLevel="0" collapsed="false">
      <c r="A59" s="1" t="s">
        <v>1196</v>
      </c>
      <c r="B59" s="1" t="s">
        <v>1197</v>
      </c>
    </row>
    <row r="60" customFormat="false" ht="15" hidden="false" customHeight="false" outlineLevel="0" collapsed="false">
      <c r="A60" s="1" t="s">
        <v>1198</v>
      </c>
      <c r="B60" s="1" t="s">
        <v>1199</v>
      </c>
    </row>
    <row r="61" customFormat="false" ht="15" hidden="false" customHeight="false" outlineLevel="0" collapsed="false">
      <c r="A61" s="1" t="s">
        <v>1200</v>
      </c>
      <c r="B61" s="1" t="s">
        <v>1201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2026-05-11T11:49:06Z</dcterms:created>
  <dc:creator>openpyxl</dc:creator>
  <dc:description/>
  <dc:language>en-US</dc:language>
  <cp:lastModifiedBy>Vimal Kumar</cp:lastModifiedBy>
  <dcterms:modified xsi:type="dcterms:W3CDTF">2026-05-13T14:36:42Z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